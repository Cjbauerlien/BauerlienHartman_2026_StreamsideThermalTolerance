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cb00103_mail_wvu_edu/Documents/Documents/Graduate WVU/Brook Trout Thermal Tolerance/Data_StreamSideThermalTolerance/"/>
    </mc:Choice>
  </mc:AlternateContent>
  <xr:revisionPtr revIDLastSave="14219" documentId="8_{BA0D3830-E343-48AE-91B9-BF921C3741B8}" xr6:coauthVersionLast="47" xr6:coauthVersionMax="47" xr10:uidLastSave="{F1073560-47A3-43BB-A9AB-05F4F8D735B4}"/>
  <bookViews>
    <workbookView xWindow="-108" yWindow="-108" windowWidth="23256" windowHeight="12456" xr2:uid="{32D16F2C-C892-462B-83CF-FF0FC44F611B}"/>
  </bookViews>
  <sheets>
    <sheet name="TestID" sheetId="1" r:id="rId1"/>
    <sheet name="Trial" sheetId="2" r:id="rId2"/>
    <sheet name="EasyTrialEnt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3" l="1"/>
  <c r="Z7" i="3"/>
  <c r="Y8" i="3"/>
  <c r="Z8" i="3"/>
  <c r="Y9" i="3"/>
  <c r="Z9" i="3"/>
  <c r="Y10" i="3"/>
  <c r="Z10" i="3"/>
  <c r="Y11" i="3"/>
  <c r="Z11" i="3"/>
  <c r="Y12" i="3"/>
  <c r="Z12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Y33" i="3"/>
  <c r="Z33" i="3"/>
  <c r="Y34" i="3"/>
  <c r="Z34" i="3"/>
  <c r="Y35" i="3"/>
  <c r="Z35" i="3"/>
  <c r="Y36" i="3"/>
  <c r="Z36" i="3"/>
  <c r="Y37" i="3"/>
  <c r="Z37" i="3"/>
  <c r="Y38" i="3"/>
  <c r="Z38" i="3"/>
  <c r="Y39" i="3"/>
  <c r="Z39" i="3"/>
  <c r="Y40" i="3"/>
  <c r="Z40" i="3"/>
  <c r="Y41" i="3"/>
  <c r="Z41" i="3"/>
  <c r="Y42" i="3"/>
  <c r="Z42" i="3"/>
  <c r="Y43" i="3"/>
  <c r="Z43" i="3"/>
  <c r="Y44" i="3"/>
  <c r="Z44" i="3"/>
  <c r="Y45" i="3"/>
  <c r="Z45" i="3"/>
  <c r="Y46" i="3"/>
  <c r="Z46" i="3"/>
  <c r="Y47" i="3"/>
  <c r="Z47" i="3"/>
  <c r="Y48" i="3"/>
  <c r="Z48" i="3"/>
  <c r="Z6" i="3"/>
  <c r="Z4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6" i="3"/>
  <c r="T7" i="3" l="1"/>
  <c r="R20" i="3"/>
  <c r="R19" i="3"/>
  <c r="R18" i="3"/>
  <c r="R17" i="3"/>
  <c r="R16" i="3"/>
  <c r="R15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6" i="3"/>
  <c r="X4" i="3"/>
  <c r="T30" i="3" l="1"/>
  <c r="R30" i="3"/>
  <c r="U30" i="3" s="1"/>
  <c r="R7" i="3" l="1"/>
  <c r="U7" i="3" s="1"/>
  <c r="V7" i="3"/>
  <c r="W7" i="3"/>
  <c r="AA7" i="3"/>
  <c r="T8" i="3"/>
  <c r="R8" i="3"/>
  <c r="U8" i="3" s="1"/>
  <c r="V8" i="3"/>
  <c r="W8" i="3"/>
  <c r="AA8" i="3"/>
  <c r="T9" i="3"/>
  <c r="R9" i="3"/>
  <c r="U9" i="3" s="1"/>
  <c r="V9" i="3"/>
  <c r="W9" i="3"/>
  <c r="AA9" i="3"/>
  <c r="T10" i="3"/>
  <c r="R10" i="3"/>
  <c r="U10" i="3" s="1"/>
  <c r="V10" i="3"/>
  <c r="W10" i="3"/>
  <c r="AA10" i="3"/>
  <c r="T11" i="3"/>
  <c r="R11" i="3"/>
  <c r="U11" i="3" s="1"/>
  <c r="V11" i="3"/>
  <c r="W11" i="3"/>
  <c r="AA11" i="3"/>
  <c r="T12" i="3"/>
  <c r="R12" i="3"/>
  <c r="U12" i="3" s="1"/>
  <c r="V12" i="3"/>
  <c r="W12" i="3"/>
  <c r="AA12" i="3"/>
  <c r="T13" i="3"/>
  <c r="R13" i="3"/>
  <c r="U13" i="3" s="1"/>
  <c r="V13" i="3"/>
  <c r="W13" i="3"/>
  <c r="AA13" i="3"/>
  <c r="T14" i="3"/>
  <c r="R14" i="3"/>
  <c r="U14" i="3" s="1"/>
  <c r="V14" i="3"/>
  <c r="W14" i="3"/>
  <c r="AA14" i="3"/>
  <c r="T15" i="3"/>
  <c r="U15" i="3"/>
  <c r="V15" i="3"/>
  <c r="W15" i="3"/>
  <c r="AA15" i="3"/>
  <c r="T16" i="3"/>
  <c r="U16" i="3"/>
  <c r="V16" i="3"/>
  <c r="W16" i="3"/>
  <c r="AA16" i="3"/>
  <c r="T17" i="3"/>
  <c r="U17" i="3"/>
  <c r="V17" i="3"/>
  <c r="W17" i="3"/>
  <c r="AA17" i="3"/>
  <c r="T18" i="3"/>
  <c r="U18" i="3"/>
  <c r="V18" i="3"/>
  <c r="W18" i="3"/>
  <c r="AA18" i="3"/>
  <c r="T19" i="3"/>
  <c r="U19" i="3"/>
  <c r="V19" i="3"/>
  <c r="W19" i="3"/>
  <c r="AA19" i="3"/>
  <c r="T20" i="3"/>
  <c r="U20" i="3"/>
  <c r="V20" i="3"/>
  <c r="W20" i="3"/>
  <c r="AA20" i="3"/>
  <c r="T21" i="3"/>
  <c r="R21" i="3"/>
  <c r="U21" i="3" s="1"/>
  <c r="V21" i="3"/>
  <c r="W21" i="3"/>
  <c r="AA21" i="3"/>
  <c r="T22" i="3"/>
  <c r="R22" i="3"/>
  <c r="U22" i="3" s="1"/>
  <c r="V22" i="3"/>
  <c r="W22" i="3"/>
  <c r="AA22" i="3"/>
  <c r="T23" i="3"/>
  <c r="R23" i="3"/>
  <c r="U23" i="3" s="1"/>
  <c r="V23" i="3"/>
  <c r="W23" i="3"/>
  <c r="AA23" i="3"/>
  <c r="T24" i="3"/>
  <c r="R24" i="3"/>
  <c r="U24" i="3" s="1"/>
  <c r="V24" i="3"/>
  <c r="W24" i="3"/>
  <c r="AA24" i="3"/>
  <c r="T25" i="3"/>
  <c r="R25" i="3"/>
  <c r="U25" i="3" s="1"/>
  <c r="V25" i="3"/>
  <c r="W25" i="3"/>
  <c r="AA25" i="3"/>
  <c r="T26" i="3"/>
  <c r="R26" i="3"/>
  <c r="U26" i="3" s="1"/>
  <c r="V26" i="3"/>
  <c r="W26" i="3"/>
  <c r="AA26" i="3"/>
  <c r="T27" i="3"/>
  <c r="R27" i="3"/>
  <c r="U27" i="3" s="1"/>
  <c r="V27" i="3"/>
  <c r="W27" i="3"/>
  <c r="AA27" i="3"/>
  <c r="T28" i="3"/>
  <c r="R28" i="3"/>
  <c r="U28" i="3" s="1"/>
  <c r="V28" i="3"/>
  <c r="W28" i="3"/>
  <c r="AA28" i="3"/>
  <c r="T29" i="3"/>
  <c r="R29" i="3"/>
  <c r="U29" i="3" s="1"/>
  <c r="V29" i="3"/>
  <c r="W29" i="3"/>
  <c r="AA29" i="3"/>
  <c r="V30" i="3"/>
  <c r="W30" i="3"/>
  <c r="AA30" i="3"/>
  <c r="T31" i="3"/>
  <c r="R31" i="3"/>
  <c r="U31" i="3" s="1"/>
  <c r="V31" i="3"/>
  <c r="W31" i="3"/>
  <c r="AA31" i="3"/>
  <c r="T32" i="3"/>
  <c r="R32" i="3"/>
  <c r="U32" i="3" s="1"/>
  <c r="V32" i="3"/>
  <c r="W32" i="3"/>
  <c r="AA32" i="3"/>
  <c r="T33" i="3"/>
  <c r="R33" i="3"/>
  <c r="U33" i="3" s="1"/>
  <c r="V33" i="3"/>
  <c r="W33" i="3"/>
  <c r="AA33" i="3"/>
  <c r="T34" i="3"/>
  <c r="R34" i="3"/>
  <c r="U34" i="3" s="1"/>
  <c r="V34" i="3"/>
  <c r="W34" i="3"/>
  <c r="AA34" i="3"/>
  <c r="T35" i="3"/>
  <c r="R35" i="3"/>
  <c r="U35" i="3" s="1"/>
  <c r="V35" i="3"/>
  <c r="W35" i="3"/>
  <c r="AA35" i="3"/>
  <c r="T36" i="3"/>
  <c r="R36" i="3"/>
  <c r="U36" i="3" s="1"/>
  <c r="V36" i="3"/>
  <c r="W36" i="3"/>
  <c r="AA36" i="3"/>
  <c r="T37" i="3"/>
  <c r="R37" i="3"/>
  <c r="U37" i="3" s="1"/>
  <c r="V37" i="3"/>
  <c r="W37" i="3"/>
  <c r="AA37" i="3"/>
  <c r="T38" i="3"/>
  <c r="R38" i="3"/>
  <c r="U38" i="3" s="1"/>
  <c r="V38" i="3"/>
  <c r="W38" i="3"/>
  <c r="AA38" i="3"/>
  <c r="T39" i="3"/>
  <c r="R39" i="3"/>
  <c r="U39" i="3" s="1"/>
  <c r="V39" i="3"/>
  <c r="W39" i="3"/>
  <c r="AA39" i="3"/>
  <c r="T40" i="3"/>
  <c r="R40" i="3"/>
  <c r="U40" i="3" s="1"/>
  <c r="V40" i="3"/>
  <c r="W40" i="3"/>
  <c r="AA40" i="3"/>
  <c r="T41" i="3"/>
  <c r="R41" i="3"/>
  <c r="U41" i="3" s="1"/>
  <c r="V41" i="3"/>
  <c r="W41" i="3"/>
  <c r="AA41" i="3"/>
  <c r="T42" i="3"/>
  <c r="R42" i="3"/>
  <c r="U42" i="3" s="1"/>
  <c r="V42" i="3"/>
  <c r="W42" i="3"/>
  <c r="AA42" i="3"/>
  <c r="T43" i="3"/>
  <c r="R43" i="3"/>
  <c r="U43" i="3" s="1"/>
  <c r="V43" i="3"/>
  <c r="W43" i="3"/>
  <c r="AA43" i="3"/>
  <c r="T44" i="3"/>
  <c r="R44" i="3"/>
  <c r="U44" i="3" s="1"/>
  <c r="V44" i="3"/>
  <c r="W44" i="3"/>
  <c r="AA44" i="3"/>
  <c r="T45" i="3"/>
  <c r="R45" i="3"/>
  <c r="U45" i="3" s="1"/>
  <c r="V45" i="3"/>
  <c r="W45" i="3"/>
  <c r="AA45" i="3"/>
  <c r="T46" i="3"/>
  <c r="R46" i="3"/>
  <c r="U46" i="3" s="1"/>
  <c r="V46" i="3"/>
  <c r="W46" i="3"/>
  <c r="AA46" i="3"/>
  <c r="T47" i="3"/>
  <c r="R47" i="3"/>
  <c r="U47" i="3" s="1"/>
  <c r="V47" i="3"/>
  <c r="W47" i="3"/>
  <c r="AA47" i="3"/>
  <c r="T48" i="3"/>
  <c r="R48" i="3"/>
  <c r="U48" i="3" s="1"/>
  <c r="V48" i="3"/>
  <c r="W48" i="3"/>
  <c r="AA48" i="3"/>
  <c r="Y6" i="3" l="1"/>
  <c r="Y4" i="3"/>
  <c r="AA6" i="3" l="1"/>
  <c r="AA4" i="3"/>
  <c r="R6" i="3" l="1"/>
  <c r="U6" i="3" s="1"/>
  <c r="T6" i="3"/>
  <c r="V6" i="3"/>
  <c r="W6" i="3"/>
  <c r="V4" i="3" l="1"/>
  <c r="W4" i="3"/>
  <c r="R4" i="3" l="1"/>
  <c r="U4" i="3" s="1"/>
  <c r="Q4" i="3"/>
  <c r="T4" i="3" s="1"/>
</calcChain>
</file>

<file path=xl/sharedStrings.xml><?xml version="1.0" encoding="utf-8"?>
<sst xmlns="http://schemas.openxmlformats.org/spreadsheetml/2006/main" count="912" uniqueCount="455">
  <si>
    <t>TestID</t>
  </si>
  <si>
    <t>Date</t>
  </si>
  <si>
    <t>StartTime</t>
  </si>
  <si>
    <t>HT_File</t>
  </si>
  <si>
    <t>RT_File</t>
  </si>
  <si>
    <t>Rec_Tank</t>
  </si>
  <si>
    <t>t_Trans</t>
  </si>
  <si>
    <t>t_Rec</t>
  </si>
  <si>
    <t>TL</t>
  </si>
  <si>
    <t>Wt</t>
  </si>
  <si>
    <t>Comments</t>
  </si>
  <si>
    <t>EndTime</t>
  </si>
  <si>
    <t>02</t>
  </si>
  <si>
    <t>MM</t>
  </si>
  <si>
    <t>mm</t>
  </si>
  <si>
    <t>DD</t>
  </si>
  <si>
    <t>YYYY</t>
  </si>
  <si>
    <t>hh</t>
  </si>
  <si>
    <t>ss</t>
  </si>
  <si>
    <t>2023</t>
  </si>
  <si>
    <t>XXXX</t>
  </si>
  <si>
    <t>XXX</t>
  </si>
  <si>
    <t>XX.XX</t>
  </si>
  <si>
    <t>** EXAMPLE ** -&gt; Do not copy</t>
  </si>
  <si>
    <t>DATETIME FORMATTED</t>
  </si>
  <si>
    <t>TEXT ONLY</t>
  </si>
  <si>
    <t>COPY THIS PART</t>
  </si>
  <si>
    <t>01</t>
  </si>
  <si>
    <t>Mortality</t>
  </si>
  <si>
    <t>COMMENT HERE</t>
  </si>
  <si>
    <t>Video_File</t>
  </si>
  <si>
    <t>1</t>
  </si>
  <si>
    <t>Page</t>
  </si>
  <si>
    <t>CTM_Brushy_2025-06-24_1</t>
  </si>
  <si>
    <t>TimeAtLiveWell</t>
  </si>
  <si>
    <t>IMG_3488</t>
  </si>
  <si>
    <t>IMG_3489</t>
  </si>
  <si>
    <t>3 Mortalities due to fin rigidity</t>
  </si>
  <si>
    <t>IMG_3490</t>
  </si>
  <si>
    <t>NA</t>
  </si>
  <si>
    <t>Did extra test to make up for mortalities; Tank shattered, so not able to test</t>
  </si>
  <si>
    <t>Clip ID</t>
  </si>
  <si>
    <t>CTM_Brushy_2025-06-24_2</t>
  </si>
  <si>
    <t>CTM_Brushy_2025-06-24_3</t>
  </si>
  <si>
    <t>2025</t>
  </si>
  <si>
    <t>TT040</t>
  </si>
  <si>
    <t>12</t>
  </si>
  <si>
    <t>TT020</t>
  </si>
  <si>
    <t>TT021</t>
  </si>
  <si>
    <t>TT015</t>
  </si>
  <si>
    <t>TT022</t>
  </si>
  <si>
    <t>TT034</t>
  </si>
  <si>
    <t>TT038</t>
  </si>
  <si>
    <t>Mortality; LOE not observed due to fin rigidity</t>
  </si>
  <si>
    <t>13</t>
  </si>
  <si>
    <t>TT033</t>
  </si>
  <si>
    <t>TT031</t>
  </si>
  <si>
    <t>TT014</t>
  </si>
  <si>
    <t>TT019</t>
  </si>
  <si>
    <t>Did not descend; check video; Had gas in bladder, but gained equilibrium</t>
  </si>
  <si>
    <t>TT013</t>
  </si>
  <si>
    <t>ClipID</t>
  </si>
  <si>
    <t>HT_1 2025-06-24 11_34_42</t>
  </si>
  <si>
    <t>HT_1 2025-06-24 12_55_48</t>
  </si>
  <si>
    <t>HT_1 2025-06-24 14_01_21</t>
  </si>
  <si>
    <t>RT_1 2025-06-24 11_36_34</t>
  </si>
  <si>
    <t>RT_1 2025-06-24 12_56_28</t>
  </si>
  <si>
    <t>RT_1 2025-06-24 14_01_48</t>
  </si>
  <si>
    <t>CTM_Brushy_2025-06-24_4</t>
  </si>
  <si>
    <t>Stream</t>
  </si>
  <si>
    <t>Crew</t>
  </si>
  <si>
    <t>StreamTemperature</t>
  </si>
  <si>
    <t>TimeYSI</t>
  </si>
  <si>
    <t>Brushy</t>
  </si>
  <si>
    <t>CB, BM</t>
  </si>
  <si>
    <t>Season</t>
  </si>
  <si>
    <t>Early Summer</t>
  </si>
  <si>
    <t>CTM_Poca_2025-06-25_1</t>
  </si>
  <si>
    <t>CTM_Poca_2025-06-25_2</t>
  </si>
  <si>
    <t>CTM_Poca_2025-06-25_3</t>
  </si>
  <si>
    <t>Poca</t>
  </si>
  <si>
    <t>CB, BM, NL</t>
  </si>
  <si>
    <t>IMG_3499</t>
  </si>
  <si>
    <t>HT_1 2025-06-25 12_44_06</t>
  </si>
  <si>
    <t>RT_1 2025-06-25 12_43_13</t>
  </si>
  <si>
    <t>Electrofishing effort = 2128.1; N_Caught = 17</t>
  </si>
  <si>
    <t>Electrofishing effort = 1791.7; N_Caught = 20</t>
  </si>
  <si>
    <t>IMG_3500</t>
  </si>
  <si>
    <t>HT_1 2025-06-25 13_56_13</t>
  </si>
  <si>
    <t>RT_1 2025-06-25 13_56_59</t>
  </si>
  <si>
    <t>IMG_3501</t>
  </si>
  <si>
    <t>HT_1 2025-06-25 14_56_28</t>
  </si>
  <si>
    <t>RT_1 2025-06-25 14_57_20</t>
  </si>
  <si>
    <t>Sun started hitting the heating tank and recovery buckets</t>
  </si>
  <si>
    <t>TT032</t>
  </si>
  <si>
    <t>TT039</t>
  </si>
  <si>
    <t>TT042</t>
  </si>
  <si>
    <t>TT024</t>
  </si>
  <si>
    <t>Took a while to recover</t>
  </si>
  <si>
    <t>TT035</t>
  </si>
  <si>
    <t>TT002</t>
  </si>
  <si>
    <t>TT003</t>
  </si>
  <si>
    <t>TT037</t>
  </si>
  <si>
    <t>TT044</t>
  </si>
  <si>
    <t>TT025</t>
  </si>
  <si>
    <t>Took long time to recover; righted once bucket was moved</t>
  </si>
  <si>
    <t>TT029</t>
  </si>
  <si>
    <t>TT036</t>
  </si>
  <si>
    <t>TT008</t>
  </si>
  <si>
    <t>TT028</t>
  </si>
  <si>
    <t>TT027</t>
  </si>
  <si>
    <t>CTM_Littlelow_2025-06-26_1</t>
  </si>
  <si>
    <t>CTM_Littlelow_2025-06-26_2</t>
  </si>
  <si>
    <t>CTM_Littlelow_2025-06-26_3</t>
  </si>
  <si>
    <t>Littlelow</t>
  </si>
  <si>
    <t>IMG_3509</t>
  </si>
  <si>
    <t>HT_1 2025-06-26 11_37_19</t>
  </si>
  <si>
    <t>RT_1 2025-06-26 11_37_46</t>
  </si>
  <si>
    <t>Electrofishing effort = 406.9; N_Caught = 17</t>
  </si>
  <si>
    <t>IMG_3510</t>
  </si>
  <si>
    <t>HT_1 2025-06-26 12_48_27</t>
  </si>
  <si>
    <t>RT_1 2025-06-26 12_48_02</t>
  </si>
  <si>
    <t>IMG_3512</t>
  </si>
  <si>
    <t>HT_1 2025-06-26 13_50_43</t>
  </si>
  <si>
    <t>RT_1 2025-06-26 13_51_36</t>
  </si>
  <si>
    <t>TT011</t>
  </si>
  <si>
    <t>Probably pulled out of tank too early</t>
  </si>
  <si>
    <t>TT043</t>
  </si>
  <si>
    <t>TT023</t>
  </si>
  <si>
    <t>False equilibrium at first</t>
  </si>
  <si>
    <t>TT006</t>
  </si>
  <si>
    <t>TT001</t>
  </si>
  <si>
    <t>TT018</t>
  </si>
  <si>
    <t>TT030</t>
  </si>
  <si>
    <t>TT012</t>
  </si>
  <si>
    <t>TT009</t>
  </si>
  <si>
    <t>TT026</t>
  </si>
  <si>
    <t>TT041</t>
  </si>
  <si>
    <t>TT007</t>
  </si>
  <si>
    <t>TT046</t>
  </si>
  <si>
    <t>TT045</t>
  </si>
  <si>
    <t>CTM_Birch_2025-07-02_1</t>
  </si>
  <si>
    <t>CTM_Birch_2025-07-02_2</t>
  </si>
  <si>
    <t>CTM_Birch_2025-07-02_3</t>
  </si>
  <si>
    <t>Birch</t>
  </si>
  <si>
    <t>IMG_3542</t>
  </si>
  <si>
    <t>HT_1 2025-07-02 11_55_27</t>
  </si>
  <si>
    <t>RT_1 2025-07-02 11_54_50</t>
  </si>
  <si>
    <t>IMG_3546</t>
  </si>
  <si>
    <t>Electrofishing effort = 1548.8; N_Caught = 17; Forgot live well. Punched holes in field hear bin and used as live well. Noticed some sort of lesion on one fish. Took pics and released (IMG_3528-IMG3545)</t>
  </si>
  <si>
    <t>HT_1 2025-07-02 13_05_34</t>
  </si>
  <si>
    <t>RT_1 2025-07-02 13_05_58</t>
  </si>
  <si>
    <t>IMG_3547</t>
  </si>
  <si>
    <t>HT_1 2025-07-02 14_21_47</t>
  </si>
  <si>
    <t>RT_1 2025-07-02 14_21_20</t>
  </si>
  <si>
    <t>TT048</t>
  </si>
  <si>
    <t>TT017</t>
  </si>
  <si>
    <t>TT005</t>
  </si>
  <si>
    <t>Continuously swam down, even in heat tank. Gained equilibrium and stopped swimming briefly</t>
  </si>
  <si>
    <t>TT016</t>
  </si>
  <si>
    <t>TT010</t>
  </si>
  <si>
    <t>TT139</t>
  </si>
  <si>
    <t>LOE and recovery occurred very quickly. CENSOR?</t>
  </si>
  <si>
    <t>TT135</t>
  </si>
  <si>
    <t>Did not descend; Dropped anal fin clip, so took lower caudal clip; Found anal fin clip, but kept both</t>
  </si>
  <si>
    <t>TT143</t>
  </si>
  <si>
    <t>TT047</t>
  </si>
  <si>
    <t>TT004</t>
  </si>
  <si>
    <t>TT118</t>
  </si>
  <si>
    <t>Got stuck in heating cage</t>
  </si>
  <si>
    <t>TT142</t>
  </si>
  <si>
    <t>TT104</t>
  </si>
  <si>
    <t>TT136</t>
  </si>
  <si>
    <t>TT127</t>
  </si>
  <si>
    <t>Heating paused around 13:47 because fish got stuck in heater cage</t>
  </si>
  <si>
    <t>CTM_Poca_2025-08-05_1</t>
  </si>
  <si>
    <t>CTM_Poca_2025-08-05_2</t>
  </si>
  <si>
    <t>CTM_Poca_2025-08-05_3</t>
  </si>
  <si>
    <t>Late Summer</t>
  </si>
  <si>
    <t>CB, NL</t>
  </si>
  <si>
    <t>IMG_3593</t>
  </si>
  <si>
    <t>HT_1 2025-08-05 13_51_21</t>
  </si>
  <si>
    <t>RT_1 2025-08-05 13_52_01</t>
  </si>
  <si>
    <t>Electrofishing effort = 2453.4; N_Caught = 24; N_Recap = 5</t>
  </si>
  <si>
    <t>IMG_3594</t>
  </si>
  <si>
    <t>HT_1 2025-08-05 15_00_26</t>
  </si>
  <si>
    <t>RT_1 2025-08-05 15_01_26</t>
  </si>
  <si>
    <t>IMG_3595</t>
  </si>
  <si>
    <t>HT_1 2025-08-05 16_06_01</t>
  </si>
  <si>
    <t>RT_1 2025-08-05 16_06_29</t>
  </si>
  <si>
    <t>TT121</t>
  </si>
  <si>
    <t>Caught itself under heating element; Censor?</t>
  </si>
  <si>
    <t>TT145</t>
  </si>
  <si>
    <t>TT129</t>
  </si>
  <si>
    <t>TT130</t>
  </si>
  <si>
    <t>TT124</t>
  </si>
  <si>
    <t>14</t>
  </si>
  <si>
    <t>TT133</t>
  </si>
  <si>
    <t>TT141</t>
  </si>
  <si>
    <t>Kept swimming; settled briefly</t>
  </si>
  <si>
    <t>TT122</t>
  </si>
  <si>
    <t>TT148</t>
  </si>
  <si>
    <t>TT106</t>
  </si>
  <si>
    <t>TT113</t>
  </si>
  <si>
    <t>Got into heater cage</t>
  </si>
  <si>
    <t>TT107</t>
  </si>
  <si>
    <t>TT149</t>
  </si>
  <si>
    <t>Just kept swimming</t>
  </si>
  <si>
    <t>TT126</t>
  </si>
  <si>
    <t>CTM_Brushy_2025-08-08_1</t>
  </si>
  <si>
    <t>CTM_Brushy_2025-08-08_2</t>
  </si>
  <si>
    <t>CTM_Brushy_2025-08-08_3</t>
  </si>
  <si>
    <t>CB, CL, CH</t>
  </si>
  <si>
    <t>IMG_3605</t>
  </si>
  <si>
    <t>HT_1 2025-08-08 11_32_41</t>
  </si>
  <si>
    <t>RT_1 2025-08-08 11_33_02</t>
  </si>
  <si>
    <t>Electrofishing effort = 2218.5; N_Caught = 23; N_Recap = 0</t>
  </si>
  <si>
    <t>IMG_3606</t>
  </si>
  <si>
    <t>HT_1 2025-08-08 12_38_37</t>
  </si>
  <si>
    <t>RT_1 2025-08-08 12_38_57</t>
  </si>
  <si>
    <t>Small fish kept getting into heater cage</t>
  </si>
  <si>
    <t>IMG_3607</t>
  </si>
  <si>
    <t>HT_1 2025-08-08 13_40_42</t>
  </si>
  <si>
    <t>RT_1 2025-08-08 13_41_11</t>
  </si>
  <si>
    <t>TT150</t>
  </si>
  <si>
    <t>TT140</t>
  </si>
  <si>
    <t>TT144</t>
  </si>
  <si>
    <t>TT138</t>
  </si>
  <si>
    <t>TT115</t>
  </si>
  <si>
    <t>TT109</t>
  </si>
  <si>
    <t>TT111</t>
  </si>
  <si>
    <t>TT123</t>
  </si>
  <si>
    <t>Did not descend</t>
  </si>
  <si>
    <t>TT112</t>
  </si>
  <si>
    <t>TT125</t>
  </si>
  <si>
    <t>TT110</t>
  </si>
  <si>
    <t>TT105</t>
  </si>
  <si>
    <t>TT128</t>
  </si>
  <si>
    <t>TT120</t>
  </si>
  <si>
    <t>TT114</t>
  </si>
  <si>
    <t>CTM_Birch_2025-08-11_1</t>
  </si>
  <si>
    <t>CTM_Birch_2025-08-11_2</t>
  </si>
  <si>
    <t>CTM_Birch_2025-08-11_3</t>
  </si>
  <si>
    <t>IMG_3618</t>
  </si>
  <si>
    <t>HT_1 2025-08-11 11_22_25</t>
  </si>
  <si>
    <t>RT_1 2025-08-11 11_22_48</t>
  </si>
  <si>
    <t>Electrofishing effort = 346.5; N_Caught = 24; N_Recap = 6; Stream was dry and fish found only in a few pools. In-stream temperature logger was nearly de-watered. Moved slightly upstream</t>
  </si>
  <si>
    <t>IMG_3619</t>
  </si>
  <si>
    <t>HT_1 2025-08-11 12_26_16</t>
  </si>
  <si>
    <t>RT_1 2025-08-11 12_26_43</t>
  </si>
  <si>
    <t>NEED TO ORDER MORE ALCOHOL WIPES! Short by ~35</t>
  </si>
  <si>
    <t>IMG_3620</t>
  </si>
  <si>
    <t>HT_1 2025-08-11 13_23_37</t>
  </si>
  <si>
    <t>RT_1 2025-08-11 13_24_01</t>
  </si>
  <si>
    <t>TT108</t>
  </si>
  <si>
    <t>TT161</t>
  </si>
  <si>
    <t>TT162</t>
  </si>
  <si>
    <t>TT154</t>
  </si>
  <si>
    <t>Took a while to recover; Kept leaning</t>
  </si>
  <si>
    <t>TT151</t>
  </si>
  <si>
    <t>TT152</t>
  </si>
  <si>
    <t>TT131</t>
  </si>
  <si>
    <t>TT160</t>
  </si>
  <si>
    <t>Gained equilibrium briefly but kept swimming</t>
  </si>
  <si>
    <t>TT103</t>
  </si>
  <si>
    <t>TT156</t>
  </si>
  <si>
    <t>TT119</t>
  </si>
  <si>
    <t>TT102</t>
  </si>
  <si>
    <t>TT158</t>
  </si>
  <si>
    <t>TT116</t>
  </si>
  <si>
    <t>TT146</t>
  </si>
  <si>
    <t>CTM_Littlelow_2025-08-29_1</t>
  </si>
  <si>
    <t>CTM_Littlelow_2025-08-29_2</t>
  </si>
  <si>
    <t>CTM_Littlelow_2025-08-29_3</t>
  </si>
  <si>
    <t>CB, JB</t>
  </si>
  <si>
    <t>IMG_3640</t>
  </si>
  <si>
    <t>HT_1 2025-08-29 13_24_03</t>
  </si>
  <si>
    <t>RT_1 2025-08-29 13_23_10</t>
  </si>
  <si>
    <t>Electrofishing effort = 549.1; N_Caught = 30; N_Recap = 1; Forgot YSI. Measured stream temperature with temperature logger</t>
  </si>
  <si>
    <t>IMG_3641</t>
  </si>
  <si>
    <t>HT_1 2025-08-29 14_38_12</t>
  </si>
  <si>
    <t>RT_1 2025-08-29 14_37_24</t>
  </si>
  <si>
    <t>IMG_3642</t>
  </si>
  <si>
    <t>HT_1 2025-08-29 15_56_49</t>
  </si>
  <si>
    <t>RT_1 2025-08-29 15_57_16</t>
  </si>
  <si>
    <t>TT137</t>
  </si>
  <si>
    <t>TT155</t>
  </si>
  <si>
    <t>TT153</t>
  </si>
  <si>
    <t>Kept swimming</t>
  </si>
  <si>
    <t>TT132</t>
  </si>
  <si>
    <t>TT134</t>
  </si>
  <si>
    <t>TT216</t>
  </si>
  <si>
    <t>TT101</t>
  </si>
  <si>
    <t>TT159</t>
  </si>
  <si>
    <t>TT117</t>
  </si>
  <si>
    <t>TT157</t>
  </si>
  <si>
    <t>TT147</t>
  </si>
  <si>
    <t>TT173</t>
  </si>
  <si>
    <t>TT171</t>
  </si>
  <si>
    <t>TT181</t>
  </si>
  <si>
    <t>TT174</t>
  </si>
  <si>
    <t>Kept twitching; reached equilibrium later</t>
  </si>
  <si>
    <t>CTM_Brushy_2025-09-27_1</t>
  </si>
  <si>
    <t>CTM_Brushy_2025-09-27_2</t>
  </si>
  <si>
    <t>CTM_Brushy_2025-09-27_3</t>
  </si>
  <si>
    <t>Early Fall</t>
  </si>
  <si>
    <t>CB, RP</t>
  </si>
  <si>
    <t>IMG_3674</t>
  </si>
  <si>
    <t>HT_1 2025-09-27 12_40_21</t>
  </si>
  <si>
    <t>Electrofishing effort = 1266.7; N_Caught = 25; N_Recap = 0; Weather was rainy and overcast; Could not use lighter to sanitize</t>
  </si>
  <si>
    <t>IMG_3675</t>
  </si>
  <si>
    <t>HT_1 2025-09-27 13_49_59</t>
  </si>
  <si>
    <t>RT_1 2025-09-27 13_50_20</t>
  </si>
  <si>
    <t>Could not use lighter to sanitize</t>
  </si>
  <si>
    <t>IMG_3676</t>
  </si>
  <si>
    <t>HT_1 2025-09-27 14_54_06</t>
  </si>
  <si>
    <t>RT_1 2025-09-27 14_54_37</t>
  </si>
  <si>
    <t>TT175</t>
  </si>
  <si>
    <t>TT167</t>
  </si>
  <si>
    <t>TT187</t>
  </si>
  <si>
    <t>TT185</t>
  </si>
  <si>
    <t>TT192</t>
  </si>
  <si>
    <t>TT165</t>
  </si>
  <si>
    <t>TT195</t>
  </si>
  <si>
    <t>TT164</t>
  </si>
  <si>
    <t>TT182</t>
  </si>
  <si>
    <t>TT190</t>
  </si>
  <si>
    <t>TT178</t>
  </si>
  <si>
    <t>10</t>
  </si>
  <si>
    <t>TT198</t>
  </si>
  <si>
    <t>TT189</t>
  </si>
  <si>
    <t>TT170</t>
  </si>
  <si>
    <t>RT_1 2025-09-27 12_39_52</t>
  </si>
  <si>
    <t>CTM_Poca_2025-09-28_1</t>
  </si>
  <si>
    <t>CTM_Poca_2025-09-28_2</t>
  </si>
  <si>
    <t>CTM_Poca_2025-09-28_3</t>
  </si>
  <si>
    <t>IMG_3677</t>
  </si>
  <si>
    <t>HT_1 2025-09-28 12_39_53</t>
  </si>
  <si>
    <t>RT_1 2025-09-28 12_40_13</t>
  </si>
  <si>
    <t>Electrofishing effort = 1101.3; N_Caught = 45; N_Recap = 12; Very few larger unmarked fish. Attempted to collect as representative of a sample as possible</t>
  </si>
  <si>
    <t>Few large unmarked fish; One collection related mortality (Hit by falling acorn???)</t>
  </si>
  <si>
    <t>Few large unmarked fish</t>
  </si>
  <si>
    <t>IMG_3678</t>
  </si>
  <si>
    <t>IMG_3679</t>
  </si>
  <si>
    <t>HT_1 2025-09-28 13_45_48</t>
  </si>
  <si>
    <t>RT_1 2025-09-28 13_46_12</t>
  </si>
  <si>
    <t>HT_1 2025-09-28 14_50_01</t>
  </si>
  <si>
    <t>RT_1 2025-09-28 14_50_21</t>
  </si>
  <si>
    <t>TT169</t>
  </si>
  <si>
    <t>11</t>
  </si>
  <si>
    <t>TT172</t>
  </si>
  <si>
    <t>TT179</t>
  </si>
  <si>
    <t>Kept swimming; equilibrium gained briefly at surface</t>
  </si>
  <si>
    <t>TT194</t>
  </si>
  <si>
    <t>50</t>
  </si>
  <si>
    <t>TT163</t>
  </si>
  <si>
    <t>Kept swimming; gained equilbrium briefly</t>
  </si>
  <si>
    <t>TT168</t>
  </si>
  <si>
    <t>TT186</t>
  </si>
  <si>
    <t>Gained equilibrium then kept swimming</t>
  </si>
  <si>
    <t>TT199</t>
  </si>
  <si>
    <t>Gained equilibrium at surface then kept swimming</t>
  </si>
  <si>
    <t>TT193</t>
  </si>
  <si>
    <t>TT200</t>
  </si>
  <si>
    <t>Difficult to see on recording</t>
  </si>
  <si>
    <t>TT166</t>
  </si>
  <si>
    <t>TT184</t>
  </si>
  <si>
    <t>TT177</t>
  </si>
  <si>
    <t>TT191</t>
  </si>
  <si>
    <t>TT183</t>
  </si>
  <si>
    <t>CTM_Birch_2025-10-03_1</t>
  </si>
  <si>
    <t>CTM_Birch_2025-10-03_2</t>
  </si>
  <si>
    <t>CB, CL</t>
  </si>
  <si>
    <t>IMG_3692</t>
  </si>
  <si>
    <t>HT_1 2025-10-03 11_35_42</t>
  </si>
  <si>
    <t>RT_1 2025-10-03 11_36_04</t>
  </si>
  <si>
    <t>Electrofishing effort = 430.6; N_Caught = 15; N_Recap = 7; Water EXTREMELY low. Only 4 small pools between 0Down and 100Down with a total of 2 fish. Rest caught in culvert. Collected as many as possible. Shocked Beaver!!!</t>
  </si>
  <si>
    <t>IMG_3693</t>
  </si>
  <si>
    <t>HT_1 2025-10-03 12_51_45</t>
  </si>
  <si>
    <t>RT_1 2025-10-03 12_52_20</t>
  </si>
  <si>
    <t>15</t>
  </si>
  <si>
    <t>TT085</t>
  </si>
  <si>
    <t>37</t>
  </si>
  <si>
    <t>TT079</t>
  </si>
  <si>
    <t>16</t>
  </si>
  <si>
    <t>08</t>
  </si>
  <si>
    <t>TT053</t>
  </si>
  <si>
    <t>TT070</t>
  </si>
  <si>
    <t>TT092</t>
  </si>
  <si>
    <t>24</t>
  </si>
  <si>
    <t>44</t>
  </si>
  <si>
    <t>TT063</t>
  </si>
  <si>
    <t>Did not right itself until hit the bucket</t>
  </si>
  <si>
    <t>TT060</t>
  </si>
  <si>
    <t>Recapture</t>
  </si>
  <si>
    <t>57</t>
  </si>
  <si>
    <t>TT059</t>
  </si>
  <si>
    <t>52</t>
  </si>
  <si>
    <t>TT077</t>
  </si>
  <si>
    <t>Recapture; Kept swimming</t>
  </si>
  <si>
    <t>06</t>
  </si>
  <si>
    <t>TT054</t>
  </si>
  <si>
    <t>Censor</t>
  </si>
  <si>
    <t>CTM_Littlelow_2025-10-04_1</t>
  </si>
  <si>
    <t>CTM_Littlelow_2025-10-04_2</t>
  </si>
  <si>
    <t>CTM_Littlelow_2025-10-04_3</t>
  </si>
  <si>
    <t>04</t>
  </si>
  <si>
    <t>CB, CH</t>
  </si>
  <si>
    <t>IMG_3694</t>
  </si>
  <si>
    <t>HT_1 2025-10-04 11_56_50</t>
  </si>
  <si>
    <t>RT_1 2025-10-04 11_57_12</t>
  </si>
  <si>
    <t>Electrofishing effort = 393.3; N_Caught = 34; N_Recap = 2; Started heater without loggers in water at 10:52:20, noticed at 10:54:00. Restarted with loggers</t>
  </si>
  <si>
    <t>IMG_3695</t>
  </si>
  <si>
    <t>HT_1 2025-10-04 13_04_56</t>
  </si>
  <si>
    <t>RT_1 2025-10-04 13_05_40</t>
  </si>
  <si>
    <t>IMG_3696</t>
  </si>
  <si>
    <t>32</t>
  </si>
  <si>
    <t>54</t>
  </si>
  <si>
    <t>36</t>
  </si>
  <si>
    <t>TT091</t>
  </si>
  <si>
    <t>LOE occurred early. Pinned between heater and glass</t>
  </si>
  <si>
    <t>42</t>
  </si>
  <si>
    <t>20</t>
  </si>
  <si>
    <t>TT071</t>
  </si>
  <si>
    <t>45</t>
  </si>
  <si>
    <t>05</t>
  </si>
  <si>
    <t>TT090</t>
  </si>
  <si>
    <t>09</t>
  </si>
  <si>
    <t>46</t>
  </si>
  <si>
    <t>TT074</t>
  </si>
  <si>
    <t>00</t>
  </si>
  <si>
    <t>TT089</t>
  </si>
  <si>
    <t>47</t>
  </si>
  <si>
    <t>TT099</t>
  </si>
  <si>
    <t>TT076</t>
  </si>
  <si>
    <t>48</t>
  </si>
  <si>
    <t>TT098</t>
  </si>
  <si>
    <t>51</t>
  </si>
  <si>
    <t>TT078</t>
  </si>
  <si>
    <t>49</t>
  </si>
  <si>
    <t>38</t>
  </si>
  <si>
    <t>TT080</t>
  </si>
  <si>
    <t>34</t>
  </si>
  <si>
    <t>55</t>
  </si>
  <si>
    <t>TT055</t>
  </si>
  <si>
    <t>53</t>
  </si>
  <si>
    <t>TT056</t>
  </si>
  <si>
    <t>TT049</t>
  </si>
  <si>
    <t>Righted itself immediately but was rigid at first</t>
  </si>
  <si>
    <t>59</t>
  </si>
  <si>
    <t>39</t>
  </si>
  <si>
    <t>TT057</t>
  </si>
  <si>
    <t>TT050</t>
  </si>
  <si>
    <t>RT_1 2025-10-04 14_11_13</t>
  </si>
  <si>
    <t>HT_1 2025-10-04 14_11_48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</si>
</sst>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0.0"/>
    <numFmt numFmtId="166" formatCode="mm/dd/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4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6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97F1-5684-4E38-AFE4-D8046E8A9EE8}">
  <dimension ref="A1:O167"/>
  <sheetViews>
    <sheetView tabSelected="1" topLeftCell="D1" workbookViewId="0">
      <selection activeCell="O2" sqref="O2"/>
    </sheetView>
  </sheetViews>
  <sheetFormatPr defaultRowHeight="14.4" x14ac:dyDescent="0.3"/>
  <cols>
    <col min="1" max="1" width="4.88671875" bestFit="1" customWidth="1"/>
    <col min="2" max="2" width="25.6640625" bestFit="1" customWidth="1"/>
    <col min="3" max="3" width="12.109375" bestFit="1" customWidth="1"/>
    <col min="4" max="4" width="9.5546875" bestFit="1" customWidth="1"/>
    <col min="5" max="5" width="18.33203125" style="2" bestFit="1" customWidth="1"/>
    <col min="6" max="6" width="8.109375" style="2" bestFit="1" customWidth="1"/>
    <col min="7" max="7" width="10" style="2" bestFit="1" customWidth="1"/>
    <col min="8" max="8" width="17.5546875" style="5" bestFit="1" customWidth="1"/>
    <col min="9" max="9" width="18.33203125" style="2" customWidth="1"/>
    <col min="10" max="11" width="18.33203125" style="2" bestFit="1" customWidth="1"/>
    <col min="12" max="12" width="9.44140625" bestFit="1" customWidth="1"/>
    <col min="13" max="13" width="23.6640625" bestFit="1" customWidth="1"/>
    <col min="14" max="14" width="3.77734375" customWidth="1"/>
    <col min="15" max="15" width="63.6640625" bestFit="1" customWidth="1"/>
  </cols>
  <sheetData>
    <row r="1" spans="1:15" x14ac:dyDescent="0.3">
      <c r="A1" t="s">
        <v>32</v>
      </c>
      <c r="B1" t="s">
        <v>0</v>
      </c>
      <c r="C1" t="s">
        <v>75</v>
      </c>
      <c r="D1" t="s">
        <v>1</v>
      </c>
      <c r="E1" t="s">
        <v>34</v>
      </c>
      <c r="F1" t="s">
        <v>69</v>
      </c>
      <c r="G1" t="s">
        <v>70</v>
      </c>
      <c r="H1" t="s">
        <v>71</v>
      </c>
      <c r="I1" t="s">
        <v>72</v>
      </c>
      <c r="J1" t="s">
        <v>2</v>
      </c>
      <c r="K1" t="s">
        <v>11</v>
      </c>
      <c r="L1" t="s">
        <v>30</v>
      </c>
      <c r="M1" t="s">
        <v>3</v>
      </c>
      <c r="N1" t="s">
        <v>4</v>
      </c>
      <c r="O1" t="s">
        <v>10</v>
      </c>
    </row>
    <row r="2" spans="1:15" x14ac:dyDescent="0.3">
      <c r="A2">
        <v>1</v>
      </c>
      <c r="B2" t="s">
        <v>33</v>
      </c>
      <c r="C2" t="s">
        <v>76</v>
      </c>
      <c r="D2" s="1">
        <v>45832</v>
      </c>
      <c r="E2" s="12">
        <v>45832.410995370374</v>
      </c>
      <c r="F2" s="12" t="s">
        <v>73</v>
      </c>
      <c r="G2" s="12" t="s">
        <v>74</v>
      </c>
      <c r="H2" s="5">
        <v>16.899999999999999</v>
      </c>
      <c r="I2" s="12">
        <v>45832.451388888891</v>
      </c>
      <c r="J2" s="12">
        <v>45832.459027777775</v>
      </c>
      <c r="K2" s="12">
        <v>45832.481712962966</v>
      </c>
      <c r="L2" t="s">
        <v>35</v>
      </c>
      <c r="M2" t="s">
        <v>62</v>
      </c>
      <c r="N2" t="s">
        <v>65</v>
      </c>
      <c r="O2" t="s">
        <v>86</v>
      </c>
    </row>
    <row r="3" spans="1:15" x14ac:dyDescent="0.3">
      <c r="A3">
        <v>2</v>
      </c>
      <c r="B3" t="s">
        <v>42</v>
      </c>
      <c r="C3" t="s">
        <v>76</v>
      </c>
      <c r="D3" s="1">
        <v>45832</v>
      </c>
      <c r="E3" s="12">
        <v>45832.410995370374</v>
      </c>
      <c r="F3" s="12" t="s">
        <v>73</v>
      </c>
      <c r="G3" s="12" t="s">
        <v>74</v>
      </c>
      <c r="H3" s="5">
        <v>17.3</v>
      </c>
      <c r="I3" s="12">
        <v>45832.5</v>
      </c>
      <c r="J3" s="12">
        <v>45832.503472222219</v>
      </c>
      <c r="K3" s="12">
        <v>45832.529895833337</v>
      </c>
      <c r="L3" t="s">
        <v>36</v>
      </c>
      <c r="M3" t="s">
        <v>63</v>
      </c>
      <c r="N3" t="s">
        <v>66</v>
      </c>
      <c r="O3" t="s">
        <v>37</v>
      </c>
    </row>
    <row r="4" spans="1:15" x14ac:dyDescent="0.3">
      <c r="A4">
        <v>3</v>
      </c>
      <c r="B4" t="s">
        <v>43</v>
      </c>
      <c r="C4" t="s">
        <v>76</v>
      </c>
      <c r="D4" s="1">
        <v>45832</v>
      </c>
      <c r="E4" s="12">
        <v>45832.410995370374</v>
      </c>
      <c r="F4" s="12" t="s">
        <v>73</v>
      </c>
      <c r="G4" s="12" t="s">
        <v>74</v>
      </c>
      <c r="H4" s="5">
        <v>17.600000000000001</v>
      </c>
      <c r="I4" s="12">
        <v>45832.541666666664</v>
      </c>
      <c r="J4" s="12">
        <v>45832.545138888891</v>
      </c>
      <c r="K4" s="12">
        <v>45832.579745370371</v>
      </c>
      <c r="L4" t="s">
        <v>38</v>
      </c>
      <c r="M4" t="s">
        <v>64</v>
      </c>
      <c r="N4" t="s">
        <v>67</v>
      </c>
    </row>
    <row r="5" spans="1:15" x14ac:dyDescent="0.3">
      <c r="A5">
        <v>4</v>
      </c>
      <c r="B5" t="s">
        <v>68</v>
      </c>
      <c r="C5" t="s">
        <v>76</v>
      </c>
      <c r="D5" s="1">
        <v>45832</v>
      </c>
      <c r="E5" s="12">
        <v>45832.410995370374</v>
      </c>
      <c r="F5" s="12" t="s">
        <v>73</v>
      </c>
      <c r="G5" s="12" t="s">
        <v>39</v>
      </c>
      <c r="H5" s="5" t="s">
        <v>39</v>
      </c>
      <c r="I5" s="12" t="s">
        <v>39</v>
      </c>
      <c r="J5" s="12" t="s">
        <v>39</v>
      </c>
      <c r="K5" s="12" t="s">
        <v>39</v>
      </c>
      <c r="L5" t="s">
        <v>39</v>
      </c>
      <c r="M5" t="s">
        <v>39</v>
      </c>
      <c r="N5" t="s">
        <v>39</v>
      </c>
      <c r="O5" t="s">
        <v>40</v>
      </c>
    </row>
    <row r="6" spans="1:15" x14ac:dyDescent="0.3">
      <c r="A6">
        <v>5</v>
      </c>
      <c r="B6" t="s">
        <v>77</v>
      </c>
      <c r="C6" t="s">
        <v>76</v>
      </c>
      <c r="D6" s="1">
        <v>45833</v>
      </c>
      <c r="E6" s="2">
        <v>45833.449305555558</v>
      </c>
      <c r="F6" s="2" t="s">
        <v>80</v>
      </c>
      <c r="G6" s="2" t="s">
        <v>81</v>
      </c>
      <c r="H6" s="5">
        <v>14.2</v>
      </c>
      <c r="I6" s="2">
        <v>45833.487500000003</v>
      </c>
      <c r="J6" s="2">
        <v>45833.491666666669</v>
      </c>
      <c r="K6" s="2">
        <v>45833.526932870373</v>
      </c>
      <c r="L6" t="s">
        <v>82</v>
      </c>
      <c r="M6" t="s">
        <v>83</v>
      </c>
      <c r="N6" t="s">
        <v>84</v>
      </c>
      <c r="O6" t="s">
        <v>85</v>
      </c>
    </row>
    <row r="7" spans="1:15" x14ac:dyDescent="0.3">
      <c r="A7">
        <v>6</v>
      </c>
      <c r="B7" t="s">
        <v>78</v>
      </c>
      <c r="C7" t="s">
        <v>76</v>
      </c>
      <c r="D7" s="1">
        <v>45833</v>
      </c>
      <c r="E7" s="2">
        <v>45833.449305555558</v>
      </c>
      <c r="F7" s="2" t="s">
        <v>80</v>
      </c>
      <c r="G7" s="2" t="s">
        <v>81</v>
      </c>
      <c r="H7" s="5">
        <v>14.5</v>
      </c>
      <c r="I7" s="2">
        <v>45833.532638888886</v>
      </c>
      <c r="J7" s="2">
        <v>45833.535567129627</v>
      </c>
      <c r="K7" s="2">
        <v>45833.577777777777</v>
      </c>
      <c r="L7" t="s">
        <v>87</v>
      </c>
      <c r="M7" t="s">
        <v>88</v>
      </c>
      <c r="N7" t="s">
        <v>89</v>
      </c>
    </row>
    <row r="8" spans="1:15" x14ac:dyDescent="0.3">
      <c r="A8">
        <v>7</v>
      </c>
      <c r="B8" t="s">
        <v>79</v>
      </c>
      <c r="C8" t="s">
        <v>76</v>
      </c>
      <c r="D8" s="1">
        <v>45833</v>
      </c>
      <c r="E8" s="2">
        <v>45833.449305555558</v>
      </c>
      <c r="F8" s="2" t="s">
        <v>80</v>
      </c>
      <c r="G8" s="2" t="s">
        <v>81</v>
      </c>
      <c r="H8" s="5">
        <v>14.8</v>
      </c>
      <c r="I8" s="2">
        <v>45833.583333333336</v>
      </c>
      <c r="J8" s="2">
        <v>45833.585960648146</v>
      </c>
      <c r="K8" s="2">
        <v>45833.613194444442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3">
      <c r="A9">
        <v>8</v>
      </c>
      <c r="B9" t="s">
        <v>111</v>
      </c>
      <c r="C9" t="s">
        <v>76</v>
      </c>
      <c r="D9" s="1">
        <v>45834</v>
      </c>
      <c r="E9" s="2">
        <v>45834.40625</v>
      </c>
      <c r="F9" s="2" t="s">
        <v>114</v>
      </c>
      <c r="G9" s="2" t="s">
        <v>81</v>
      </c>
      <c r="H9" s="5">
        <v>16</v>
      </c>
      <c r="I9" s="2">
        <v>45834.441666666666</v>
      </c>
      <c r="J9" s="2">
        <v>45834.449305555558</v>
      </c>
      <c r="K9" s="2">
        <v>45834.476041666669</v>
      </c>
      <c r="L9" t="s">
        <v>115</v>
      </c>
      <c r="M9" t="s">
        <v>116</v>
      </c>
      <c r="N9" t="s">
        <v>117</v>
      </c>
      <c r="O9" t="s">
        <v>118</v>
      </c>
    </row>
    <row r="10" spans="1:15" x14ac:dyDescent="0.3">
      <c r="A10">
        <v>9</v>
      </c>
      <c r="B10" t="s">
        <v>112</v>
      </c>
      <c r="C10" t="s">
        <v>76</v>
      </c>
      <c r="D10" s="1">
        <v>45834</v>
      </c>
      <c r="E10" s="2">
        <v>45834.40625</v>
      </c>
      <c r="F10" s="2" t="s">
        <v>114</v>
      </c>
      <c r="G10" s="2" t="s">
        <v>81</v>
      </c>
      <c r="H10" s="5">
        <v>16.3</v>
      </c>
      <c r="I10" s="2">
        <v>45834.494444444441</v>
      </c>
      <c r="J10" s="2">
        <v>45834.49622685185</v>
      </c>
      <c r="K10" s="2">
        <v>45834.527083333334</v>
      </c>
      <c r="L10" t="s">
        <v>119</v>
      </c>
      <c r="M10" t="s">
        <v>120</v>
      </c>
      <c r="N10" t="s">
        <v>121</v>
      </c>
    </row>
    <row r="11" spans="1:15" x14ac:dyDescent="0.3">
      <c r="A11">
        <v>10</v>
      </c>
      <c r="B11" t="s">
        <v>113</v>
      </c>
      <c r="C11" t="s">
        <v>76</v>
      </c>
      <c r="D11" s="1">
        <v>45834</v>
      </c>
      <c r="E11" s="2">
        <v>45834.40625</v>
      </c>
      <c r="F11" s="2" t="s">
        <v>114</v>
      </c>
      <c r="G11" s="2" t="s">
        <v>81</v>
      </c>
      <c r="H11" s="5">
        <v>16.600000000000001</v>
      </c>
      <c r="I11" s="2">
        <v>45834.537499999999</v>
      </c>
      <c r="J11" s="2">
        <v>45834.540277777778</v>
      </c>
      <c r="K11" s="2">
        <v>45834.574999999997</v>
      </c>
      <c r="L11" t="s">
        <v>122</v>
      </c>
      <c r="M11" t="s">
        <v>123</v>
      </c>
      <c r="N11" t="s">
        <v>124</v>
      </c>
    </row>
    <row r="12" spans="1:15" x14ac:dyDescent="0.3">
      <c r="A12">
        <v>11</v>
      </c>
      <c r="B12" t="s">
        <v>141</v>
      </c>
      <c r="C12" t="s">
        <v>76</v>
      </c>
      <c r="D12" s="1">
        <v>45840</v>
      </c>
      <c r="E12" s="2">
        <v>45840.413888888892</v>
      </c>
      <c r="F12" s="2" t="s">
        <v>144</v>
      </c>
      <c r="G12" s="2" t="s">
        <v>74</v>
      </c>
      <c r="H12" s="5">
        <v>16.600000000000001</v>
      </c>
      <c r="I12" s="2">
        <v>45840.45</v>
      </c>
      <c r="J12" s="2">
        <v>45840.455775462964</v>
      </c>
      <c r="K12" s="2">
        <v>45840.486805555556</v>
      </c>
      <c r="L12" t="s">
        <v>145</v>
      </c>
      <c r="M12" t="s">
        <v>146</v>
      </c>
      <c r="N12" t="s">
        <v>147</v>
      </c>
      <c r="O12" t="s">
        <v>149</v>
      </c>
    </row>
    <row r="13" spans="1:15" x14ac:dyDescent="0.3">
      <c r="A13">
        <v>12</v>
      </c>
      <c r="B13" t="s">
        <v>142</v>
      </c>
      <c r="C13" t="s">
        <v>76</v>
      </c>
      <c r="D13" s="1">
        <v>45840</v>
      </c>
      <c r="E13" s="2">
        <v>45840.413888888892</v>
      </c>
      <c r="F13" s="2" t="s">
        <v>144</v>
      </c>
      <c r="G13" s="2" t="s">
        <v>74</v>
      </c>
      <c r="H13" s="5">
        <v>16.899999999999999</v>
      </c>
      <c r="I13" s="2">
        <v>45840.502083333333</v>
      </c>
      <c r="J13" s="2">
        <v>45840.504432870373</v>
      </c>
      <c r="K13" s="2">
        <v>45840.533333333333</v>
      </c>
      <c r="L13" t="s">
        <v>148</v>
      </c>
      <c r="M13" t="s">
        <v>150</v>
      </c>
      <c r="N13" t="s">
        <v>151</v>
      </c>
    </row>
    <row r="14" spans="1:15" x14ac:dyDescent="0.3">
      <c r="A14">
        <v>13</v>
      </c>
      <c r="B14" t="s">
        <v>143</v>
      </c>
      <c r="C14" t="s">
        <v>76</v>
      </c>
      <c r="D14" s="1">
        <v>45840</v>
      </c>
      <c r="E14" s="2">
        <v>45840.413888888892</v>
      </c>
      <c r="F14" s="2" t="s">
        <v>144</v>
      </c>
      <c r="G14" s="2" t="s">
        <v>74</v>
      </c>
      <c r="H14" s="5">
        <v>17.100000000000001</v>
      </c>
      <c r="I14" s="2">
        <v>45840.552083333336</v>
      </c>
      <c r="J14" s="2">
        <v>45840.552777777775</v>
      </c>
      <c r="K14" s="2">
        <v>45840.584722222222</v>
      </c>
      <c r="L14" t="s">
        <v>152</v>
      </c>
      <c r="M14" t="s">
        <v>153</v>
      </c>
      <c r="N14" t="s">
        <v>154</v>
      </c>
      <c r="O14" t="s">
        <v>174</v>
      </c>
    </row>
    <row r="15" spans="1:15" x14ac:dyDescent="0.3">
      <c r="A15">
        <v>14</v>
      </c>
      <c r="B15" t="s">
        <v>175</v>
      </c>
      <c r="C15" t="s">
        <v>178</v>
      </c>
      <c r="D15" s="1">
        <v>45874</v>
      </c>
      <c r="E15" s="2">
        <v>45874.491666666669</v>
      </c>
      <c r="F15" s="2" t="s">
        <v>80</v>
      </c>
      <c r="G15" s="2" t="s">
        <v>179</v>
      </c>
      <c r="H15" s="5">
        <v>13</v>
      </c>
      <c r="I15" s="2">
        <v>45874.529166666667</v>
      </c>
      <c r="J15" s="2">
        <v>45874.533333333333</v>
      </c>
      <c r="K15" s="2">
        <v>45874.568055555559</v>
      </c>
      <c r="L15" t="s">
        <v>180</v>
      </c>
      <c r="M15" t="s">
        <v>181</v>
      </c>
      <c r="N15" t="s">
        <v>182</v>
      </c>
      <c r="O15" t="s">
        <v>183</v>
      </c>
    </row>
    <row r="16" spans="1:15" x14ac:dyDescent="0.3">
      <c r="A16">
        <v>15</v>
      </c>
      <c r="B16" t="s">
        <v>176</v>
      </c>
      <c r="C16" t="s">
        <v>178</v>
      </c>
      <c r="D16" s="1">
        <v>45874</v>
      </c>
      <c r="E16" s="2">
        <v>45874.491666666669</v>
      </c>
      <c r="F16" s="2" t="s">
        <v>80</v>
      </c>
      <c r="G16" s="2" t="s">
        <v>179</v>
      </c>
      <c r="H16" s="5">
        <v>13.1</v>
      </c>
      <c r="I16" s="2">
        <v>45874.578472222223</v>
      </c>
      <c r="J16" s="2">
        <v>45874.580555555556</v>
      </c>
      <c r="K16" s="2">
        <v>45874.618055555555</v>
      </c>
      <c r="L16" t="s">
        <v>184</v>
      </c>
      <c r="M16" t="s">
        <v>185</v>
      </c>
      <c r="N16" t="s">
        <v>186</v>
      </c>
    </row>
    <row r="17" spans="1:15" x14ac:dyDescent="0.3">
      <c r="A17">
        <v>16</v>
      </c>
      <c r="B17" t="s">
        <v>177</v>
      </c>
      <c r="C17" t="s">
        <v>178</v>
      </c>
      <c r="D17" s="1">
        <v>45874</v>
      </c>
      <c r="E17" s="2">
        <v>45874.491666666669</v>
      </c>
      <c r="F17" s="2" t="s">
        <v>80</v>
      </c>
      <c r="G17" s="2" t="s">
        <v>179</v>
      </c>
      <c r="H17" s="5">
        <v>13.3</v>
      </c>
      <c r="I17" s="2">
        <v>45874.545138888891</v>
      </c>
      <c r="J17" s="2">
        <v>45874.629224537035</v>
      </c>
      <c r="K17" s="2">
        <v>45874.663194444445</v>
      </c>
      <c r="L17" t="s">
        <v>187</v>
      </c>
      <c r="M17" t="s">
        <v>188</v>
      </c>
      <c r="N17" t="s">
        <v>189</v>
      </c>
    </row>
    <row r="18" spans="1:15" x14ac:dyDescent="0.3">
      <c r="A18">
        <v>17</v>
      </c>
      <c r="B18" t="s">
        <v>209</v>
      </c>
      <c r="C18" t="s">
        <v>178</v>
      </c>
      <c r="D18" s="1">
        <v>45877</v>
      </c>
      <c r="E18" s="2">
        <v>45877.401030092595</v>
      </c>
      <c r="F18" s="2" t="s">
        <v>73</v>
      </c>
      <c r="G18" s="2" t="s">
        <v>212</v>
      </c>
      <c r="H18" s="5">
        <v>15.7</v>
      </c>
      <c r="I18" s="2">
        <v>45877.441666666666</v>
      </c>
      <c r="J18" s="2">
        <v>45877.442893518521</v>
      </c>
      <c r="K18" s="2">
        <v>45877.470833333333</v>
      </c>
      <c r="L18" t="s">
        <v>213</v>
      </c>
      <c r="M18" t="s">
        <v>214</v>
      </c>
      <c r="N18" t="s">
        <v>215</v>
      </c>
      <c r="O18" t="s">
        <v>216</v>
      </c>
    </row>
    <row r="19" spans="1:15" x14ac:dyDescent="0.3">
      <c r="A19">
        <v>18</v>
      </c>
      <c r="B19" t="s">
        <v>210</v>
      </c>
      <c r="C19" t="s">
        <v>178</v>
      </c>
      <c r="D19" s="1">
        <v>45877</v>
      </c>
      <c r="E19" s="2">
        <v>45877.401030092595</v>
      </c>
      <c r="F19" s="2" t="s">
        <v>73</v>
      </c>
      <c r="G19" s="2" t="s">
        <v>212</v>
      </c>
      <c r="H19" s="5">
        <v>15.8</v>
      </c>
      <c r="I19" s="2">
        <v>45877.48333333333</v>
      </c>
      <c r="J19" s="2">
        <v>45877.484907407408</v>
      </c>
      <c r="K19" s="2">
        <v>45877.517361111109</v>
      </c>
      <c r="L19" t="s">
        <v>217</v>
      </c>
      <c r="M19" t="s">
        <v>218</v>
      </c>
      <c r="N19" t="s">
        <v>219</v>
      </c>
      <c r="O19" t="s">
        <v>220</v>
      </c>
    </row>
    <row r="20" spans="1:15" x14ac:dyDescent="0.3">
      <c r="A20">
        <v>19</v>
      </c>
      <c r="B20" t="s">
        <v>211</v>
      </c>
      <c r="C20" t="s">
        <v>178</v>
      </c>
      <c r="D20" s="1">
        <v>45877</v>
      </c>
      <c r="E20" s="2">
        <v>45877.401030092595</v>
      </c>
      <c r="F20" s="2" t="s">
        <v>73</v>
      </c>
      <c r="G20" s="2" t="s">
        <v>212</v>
      </c>
      <c r="H20" s="5">
        <v>16</v>
      </c>
      <c r="I20" s="2">
        <v>45877.529861111114</v>
      </c>
      <c r="J20" s="2">
        <v>45877.530694444446</v>
      </c>
      <c r="K20" s="2">
        <v>45877.560416666667</v>
      </c>
      <c r="L20" t="s">
        <v>221</v>
      </c>
      <c r="M20" t="s">
        <v>222</v>
      </c>
      <c r="N20" t="s">
        <v>223</v>
      </c>
    </row>
    <row r="21" spans="1:15" x14ac:dyDescent="0.3">
      <c r="A21">
        <v>20</v>
      </c>
      <c r="B21" t="s">
        <v>240</v>
      </c>
      <c r="C21" t="s">
        <v>178</v>
      </c>
      <c r="D21" s="1">
        <v>45880</v>
      </c>
      <c r="E21" s="2">
        <v>45880.388194444444</v>
      </c>
      <c r="F21" s="2" t="s">
        <v>144</v>
      </c>
      <c r="G21" s="2" t="s">
        <v>179</v>
      </c>
      <c r="H21" s="5">
        <v>16</v>
      </c>
      <c r="I21" s="2">
        <v>45880.426388888889</v>
      </c>
      <c r="J21" s="2">
        <v>45880.430081018516</v>
      </c>
      <c r="K21" s="2">
        <v>45880.465277777781</v>
      </c>
      <c r="L21" t="s">
        <v>243</v>
      </c>
      <c r="M21" t="s">
        <v>244</v>
      </c>
      <c r="N21" t="s">
        <v>245</v>
      </c>
      <c r="O21" t="s">
        <v>246</v>
      </c>
    </row>
    <row r="22" spans="1:15" x14ac:dyDescent="0.3">
      <c r="A22">
        <v>21</v>
      </c>
      <c r="B22" t="s">
        <v>241</v>
      </c>
      <c r="C22" t="s">
        <v>178</v>
      </c>
      <c r="D22" s="1">
        <v>45880</v>
      </c>
      <c r="E22" s="2">
        <v>45880.388194444444</v>
      </c>
      <c r="F22" s="2" t="s">
        <v>144</v>
      </c>
      <c r="G22" s="2" t="s">
        <v>179</v>
      </c>
      <c r="H22" s="5">
        <v>16.2</v>
      </c>
      <c r="I22" s="2">
        <v>45880.480555555558</v>
      </c>
      <c r="J22" s="2">
        <v>45880.480347222219</v>
      </c>
      <c r="K22" s="2">
        <v>45880.508333333331</v>
      </c>
      <c r="L22" t="s">
        <v>247</v>
      </c>
      <c r="M22" t="s">
        <v>248</v>
      </c>
      <c r="N22" t="s">
        <v>249</v>
      </c>
      <c r="O22" t="s">
        <v>250</v>
      </c>
    </row>
    <row r="23" spans="1:15" x14ac:dyDescent="0.3">
      <c r="A23">
        <v>22</v>
      </c>
      <c r="B23" t="s">
        <v>242</v>
      </c>
      <c r="C23" t="s">
        <v>178</v>
      </c>
      <c r="D23" s="1">
        <v>45880</v>
      </c>
      <c r="E23" s="2">
        <v>45880.388194444444</v>
      </c>
      <c r="F23" s="2" t="s">
        <v>144</v>
      </c>
      <c r="G23" s="2" t="s">
        <v>179</v>
      </c>
      <c r="H23" s="5">
        <v>16.3</v>
      </c>
      <c r="I23" s="2">
        <v>45880.522222222222</v>
      </c>
      <c r="J23" s="2">
        <v>45880.523344907408</v>
      </c>
      <c r="K23" s="2">
        <v>45880.551388888889</v>
      </c>
      <c r="L23" t="s">
        <v>251</v>
      </c>
      <c r="M23" t="s">
        <v>252</v>
      </c>
      <c r="N23" t="s">
        <v>253</v>
      </c>
    </row>
    <row r="24" spans="1:15" x14ac:dyDescent="0.3">
      <c r="A24">
        <v>23</v>
      </c>
      <c r="B24" t="s">
        <v>271</v>
      </c>
      <c r="C24" t="s">
        <v>178</v>
      </c>
      <c r="D24" s="1">
        <v>45898</v>
      </c>
      <c r="E24" s="2">
        <v>45898.46435185185</v>
      </c>
      <c r="F24" s="2" t="s">
        <v>114</v>
      </c>
      <c r="G24" s="2" t="s">
        <v>274</v>
      </c>
      <c r="H24" s="5">
        <v>13.4</v>
      </c>
      <c r="I24" s="2">
        <v>45898.508333333331</v>
      </c>
      <c r="J24" s="2">
        <v>45898.507141203707</v>
      </c>
      <c r="K24" s="2">
        <v>45898.545138888891</v>
      </c>
      <c r="L24" t="s">
        <v>275</v>
      </c>
      <c r="M24" t="s">
        <v>276</v>
      </c>
      <c r="N24" t="s">
        <v>277</v>
      </c>
      <c r="O24" t="s">
        <v>278</v>
      </c>
    </row>
    <row r="25" spans="1:15" x14ac:dyDescent="0.3">
      <c r="A25">
        <v>24</v>
      </c>
      <c r="B25" t="s">
        <v>272</v>
      </c>
      <c r="C25" t="s">
        <v>178</v>
      </c>
      <c r="D25" s="1">
        <v>45898</v>
      </c>
      <c r="E25" s="2">
        <v>45898.46435185185</v>
      </c>
      <c r="F25" s="2" t="s">
        <v>114</v>
      </c>
      <c r="G25" s="2" t="s">
        <v>274</v>
      </c>
      <c r="H25" s="5">
        <v>13.6</v>
      </c>
      <c r="I25" s="2">
        <v>45898.565972222219</v>
      </c>
      <c r="J25" s="2">
        <v>45898.561689814815</v>
      </c>
      <c r="K25" s="2">
        <v>45898.6</v>
      </c>
      <c r="L25" t="s">
        <v>279</v>
      </c>
      <c r="M25" t="s">
        <v>280</v>
      </c>
      <c r="N25" t="s">
        <v>281</v>
      </c>
    </row>
    <row r="26" spans="1:15" x14ac:dyDescent="0.3">
      <c r="A26">
        <v>25</v>
      </c>
      <c r="B26" t="s">
        <v>273</v>
      </c>
      <c r="C26" t="s">
        <v>178</v>
      </c>
      <c r="D26" s="1">
        <v>45898</v>
      </c>
      <c r="E26" s="2">
        <v>45898.46435185185</v>
      </c>
      <c r="F26" s="2" t="s">
        <v>114</v>
      </c>
      <c r="G26" s="2" t="s">
        <v>274</v>
      </c>
      <c r="H26" s="5">
        <v>14</v>
      </c>
      <c r="I26" s="2">
        <v>45898.620833333334</v>
      </c>
      <c r="J26" s="2">
        <v>45898.615972222222</v>
      </c>
      <c r="K26" s="2">
        <v>45898.652777777781</v>
      </c>
      <c r="L26" t="s">
        <v>282</v>
      </c>
      <c r="M26" t="s">
        <v>283</v>
      </c>
      <c r="N26" t="s">
        <v>284</v>
      </c>
    </row>
    <row r="27" spans="1:15" x14ac:dyDescent="0.3">
      <c r="A27">
        <v>26</v>
      </c>
      <c r="B27" t="s">
        <v>302</v>
      </c>
      <c r="C27" t="s">
        <v>305</v>
      </c>
      <c r="D27" s="1">
        <v>45927</v>
      </c>
      <c r="E27" s="2">
        <v>45927.441608796296</v>
      </c>
      <c r="F27" s="2" t="s">
        <v>73</v>
      </c>
      <c r="G27" s="2" t="s">
        <v>306</v>
      </c>
      <c r="H27" s="5">
        <v>16.3</v>
      </c>
      <c r="I27" s="2">
        <v>45927.477777777778</v>
      </c>
      <c r="J27" s="2">
        <v>45927.48333333333</v>
      </c>
      <c r="K27" s="2">
        <v>45927.515277777777</v>
      </c>
      <c r="L27" t="s">
        <v>307</v>
      </c>
      <c r="M27" t="s">
        <v>308</v>
      </c>
      <c r="N27" t="s">
        <v>332</v>
      </c>
      <c r="O27" t="s">
        <v>309</v>
      </c>
    </row>
    <row r="28" spans="1:15" x14ac:dyDescent="0.3">
      <c r="A28">
        <v>27</v>
      </c>
      <c r="B28" t="s">
        <v>303</v>
      </c>
      <c r="C28" t="s">
        <v>305</v>
      </c>
      <c r="D28" s="1">
        <v>45927</v>
      </c>
      <c r="E28" s="2">
        <v>45927.441608796296</v>
      </c>
      <c r="F28" s="2" t="s">
        <v>73</v>
      </c>
      <c r="G28" s="2" t="s">
        <v>306</v>
      </c>
      <c r="H28" s="5">
        <v>16.3</v>
      </c>
      <c r="I28" s="2">
        <v>45927.53402777778</v>
      </c>
      <c r="J28" s="2">
        <v>45927.535300925927</v>
      </c>
      <c r="K28" s="2">
        <v>45927.568402777775</v>
      </c>
      <c r="L28" t="s">
        <v>310</v>
      </c>
      <c r="M28" t="s">
        <v>311</v>
      </c>
      <c r="N28" t="s">
        <v>312</v>
      </c>
      <c r="O28" t="s">
        <v>313</v>
      </c>
    </row>
    <row r="29" spans="1:15" x14ac:dyDescent="0.3">
      <c r="A29">
        <v>28</v>
      </c>
      <c r="B29" t="s">
        <v>304</v>
      </c>
      <c r="C29" t="s">
        <v>305</v>
      </c>
      <c r="D29" s="1">
        <v>45927</v>
      </c>
      <c r="E29" s="2">
        <v>45927.441608796296</v>
      </c>
      <c r="F29" s="2" t="s">
        <v>73</v>
      </c>
      <c r="G29" s="2" t="s">
        <v>306</v>
      </c>
      <c r="H29" s="5">
        <v>16.3</v>
      </c>
      <c r="I29" s="2">
        <v>45927.581944444442</v>
      </c>
      <c r="J29" s="2">
        <v>45927.583472222221</v>
      </c>
      <c r="K29" s="2">
        <v>45927.614583333336</v>
      </c>
      <c r="L29" t="s">
        <v>314</v>
      </c>
      <c r="M29" t="s">
        <v>315</v>
      </c>
      <c r="N29" t="s">
        <v>316</v>
      </c>
      <c r="O29" t="s">
        <v>313</v>
      </c>
    </row>
    <row r="30" spans="1:15" x14ac:dyDescent="0.3">
      <c r="A30">
        <v>29</v>
      </c>
      <c r="B30" t="s">
        <v>333</v>
      </c>
      <c r="C30" t="s">
        <v>305</v>
      </c>
      <c r="D30" s="1">
        <v>45928</v>
      </c>
      <c r="E30" s="2">
        <v>45928.43645833333</v>
      </c>
      <c r="F30" s="2" t="s">
        <v>80</v>
      </c>
      <c r="G30" s="2" t="s">
        <v>274</v>
      </c>
      <c r="H30" s="5">
        <v>14</v>
      </c>
      <c r="I30" s="2">
        <v>45928.476388888892</v>
      </c>
      <c r="J30" s="2">
        <v>45928.478506944448</v>
      </c>
      <c r="K30" s="2">
        <v>45928.51458333333</v>
      </c>
      <c r="L30" t="s">
        <v>336</v>
      </c>
      <c r="M30" t="s">
        <v>337</v>
      </c>
      <c r="N30" t="s">
        <v>338</v>
      </c>
      <c r="O30" t="s">
        <v>339</v>
      </c>
    </row>
    <row r="31" spans="1:15" x14ac:dyDescent="0.3">
      <c r="A31">
        <v>30</v>
      </c>
      <c r="B31" t="s">
        <v>334</v>
      </c>
      <c r="C31" t="s">
        <v>305</v>
      </c>
      <c r="D31" s="1">
        <v>45928</v>
      </c>
      <c r="E31" s="2">
        <v>45928.43645833333</v>
      </c>
      <c r="F31" s="2" t="s">
        <v>80</v>
      </c>
      <c r="G31" s="2" t="s">
        <v>274</v>
      </c>
      <c r="H31" s="5">
        <v>14.4</v>
      </c>
      <c r="I31" s="2">
        <v>45928.532638888886</v>
      </c>
      <c r="J31" s="2">
        <v>45928.533680555556</v>
      </c>
      <c r="K31" s="2">
        <v>45928.563888888886</v>
      </c>
      <c r="L31" t="s">
        <v>342</v>
      </c>
      <c r="M31" t="s">
        <v>344</v>
      </c>
      <c r="N31" t="s">
        <v>345</v>
      </c>
      <c r="O31" t="s">
        <v>340</v>
      </c>
    </row>
    <row r="32" spans="1:15" x14ac:dyDescent="0.3">
      <c r="A32">
        <v>31</v>
      </c>
      <c r="B32" t="s">
        <v>335</v>
      </c>
      <c r="C32" t="s">
        <v>305</v>
      </c>
      <c r="D32" s="1">
        <v>45928</v>
      </c>
      <c r="E32" s="2">
        <v>45928.43645833333</v>
      </c>
      <c r="F32" s="2" t="s">
        <v>80</v>
      </c>
      <c r="G32" s="2" t="s">
        <v>274</v>
      </c>
      <c r="H32" s="5">
        <v>14.8</v>
      </c>
      <c r="I32" s="2">
        <v>45928.577777777777</v>
      </c>
      <c r="J32" s="2">
        <v>45928.576770833337</v>
      </c>
      <c r="K32" s="2">
        <v>45928.605555555558</v>
      </c>
      <c r="L32" t="s">
        <v>343</v>
      </c>
      <c r="M32" t="s">
        <v>346</v>
      </c>
      <c r="N32" t="s">
        <v>347</v>
      </c>
      <c r="O32" t="s">
        <v>341</v>
      </c>
    </row>
    <row r="33" spans="1:15" x14ac:dyDescent="0.3">
      <c r="A33">
        <v>32</v>
      </c>
      <c r="B33" t="s">
        <v>370</v>
      </c>
      <c r="C33" t="s">
        <v>305</v>
      </c>
      <c r="D33" s="1">
        <v>45933</v>
      </c>
      <c r="E33" s="2">
        <v>45933.392708333333</v>
      </c>
      <c r="F33" s="2" t="s">
        <v>144</v>
      </c>
      <c r="G33" s="2" t="s">
        <v>372</v>
      </c>
      <c r="H33" s="5">
        <v>11.2</v>
      </c>
      <c r="I33" s="2">
        <v>45933.431944444441</v>
      </c>
      <c r="J33" s="2">
        <v>45933.434803240743</v>
      </c>
      <c r="K33" s="2">
        <v>45933.474999999999</v>
      </c>
      <c r="L33" t="s">
        <v>373</v>
      </c>
      <c r="M33" t="s">
        <v>374</v>
      </c>
      <c r="N33" t="s">
        <v>375</v>
      </c>
      <c r="O33" t="s">
        <v>376</v>
      </c>
    </row>
    <row r="34" spans="1:15" x14ac:dyDescent="0.3">
      <c r="A34">
        <v>33</v>
      </c>
      <c r="B34" t="s">
        <v>371</v>
      </c>
      <c r="C34" t="s">
        <v>305</v>
      </c>
      <c r="D34" s="1">
        <v>45933</v>
      </c>
      <c r="E34" s="2">
        <v>45933.392708333333</v>
      </c>
      <c r="F34" s="2" t="s">
        <v>144</v>
      </c>
      <c r="G34" s="2" t="s">
        <v>372</v>
      </c>
      <c r="H34" s="5">
        <v>11.3</v>
      </c>
      <c r="I34" s="2">
        <v>45933.482291666667</v>
      </c>
      <c r="J34" s="2">
        <v>45933.485127314816</v>
      </c>
      <c r="K34" s="2">
        <v>45933.532465277778</v>
      </c>
      <c r="L34" t="s">
        <v>377</v>
      </c>
      <c r="M34" t="s">
        <v>378</v>
      </c>
      <c r="N34" t="s">
        <v>379</v>
      </c>
    </row>
    <row r="35" spans="1:15" x14ac:dyDescent="0.3">
      <c r="A35">
        <v>34</v>
      </c>
      <c r="B35" t="s">
        <v>403</v>
      </c>
      <c r="C35" t="s">
        <v>305</v>
      </c>
      <c r="D35" s="1">
        <v>45934</v>
      </c>
      <c r="E35" s="2">
        <v>45934.408333333333</v>
      </c>
      <c r="F35" s="2" t="s">
        <v>114</v>
      </c>
      <c r="G35" s="2" t="s">
        <v>407</v>
      </c>
      <c r="H35" s="5">
        <v>12</v>
      </c>
      <c r="I35" s="2">
        <v>45934.45</v>
      </c>
      <c r="J35" s="2">
        <v>45934.456597222219</v>
      </c>
      <c r="K35" s="2">
        <v>45934.490972222222</v>
      </c>
      <c r="L35" t="s">
        <v>408</v>
      </c>
      <c r="M35" t="s">
        <v>409</v>
      </c>
      <c r="N35" t="s">
        <v>410</v>
      </c>
      <c r="O35" t="s">
        <v>411</v>
      </c>
    </row>
    <row r="36" spans="1:15" x14ac:dyDescent="0.3">
      <c r="A36">
        <v>35</v>
      </c>
      <c r="B36" t="s">
        <v>404</v>
      </c>
      <c r="C36" t="s">
        <v>305</v>
      </c>
      <c r="D36" s="1">
        <v>45934</v>
      </c>
      <c r="E36" s="2">
        <v>45934.408333333333</v>
      </c>
      <c r="F36" s="2" t="s">
        <v>114</v>
      </c>
      <c r="G36" s="2" t="s">
        <v>407</v>
      </c>
      <c r="H36" s="5">
        <v>12.3</v>
      </c>
      <c r="I36" s="2">
        <v>45934.50277777778</v>
      </c>
      <c r="J36" s="2">
        <v>45934.501215277778</v>
      </c>
      <c r="K36" s="2">
        <v>45934.537499999999</v>
      </c>
      <c r="L36" t="s">
        <v>412</v>
      </c>
      <c r="M36" t="s">
        <v>413</v>
      </c>
      <c r="N36" t="s">
        <v>414</v>
      </c>
    </row>
    <row r="37" spans="1:15" x14ac:dyDescent="0.3">
      <c r="A37">
        <v>36</v>
      </c>
      <c r="B37" t="s">
        <v>405</v>
      </c>
      <c r="C37" t="s">
        <v>305</v>
      </c>
      <c r="D37" s="1">
        <v>45934</v>
      </c>
      <c r="E37" s="2">
        <v>45934.408333333333</v>
      </c>
      <c r="F37" s="2" t="s">
        <v>114</v>
      </c>
      <c r="G37" s="2" t="s">
        <v>407</v>
      </c>
      <c r="H37" s="5">
        <v>13</v>
      </c>
      <c r="I37" s="2">
        <v>45934.549305555556</v>
      </c>
      <c r="J37" s="2">
        <v>45934.548009259262</v>
      </c>
      <c r="K37" s="2">
        <v>45934.581250000003</v>
      </c>
      <c r="L37" t="s">
        <v>415</v>
      </c>
      <c r="M37" t="s">
        <v>454</v>
      </c>
      <c r="N37" t="s">
        <v>453</v>
      </c>
    </row>
    <row r="38" spans="1:15" x14ac:dyDescent="0.3">
      <c r="D38" s="1"/>
    </row>
    <row r="39" spans="1:15" x14ac:dyDescent="0.3">
      <c r="D39" s="1"/>
    </row>
    <row r="40" spans="1:15" x14ac:dyDescent="0.3">
      <c r="D40" s="1"/>
    </row>
    <row r="41" spans="1:15" x14ac:dyDescent="0.3">
      <c r="D41" s="1"/>
    </row>
    <row r="42" spans="1:15" x14ac:dyDescent="0.3">
      <c r="D42" s="1"/>
    </row>
    <row r="43" spans="1:15" x14ac:dyDescent="0.3">
      <c r="D43" s="1"/>
    </row>
    <row r="44" spans="1:15" x14ac:dyDescent="0.3">
      <c r="D44" s="1"/>
    </row>
    <row r="45" spans="1:15" x14ac:dyDescent="0.3">
      <c r="D45" s="1"/>
    </row>
    <row r="46" spans="1:15" x14ac:dyDescent="0.3">
      <c r="D46" s="1"/>
    </row>
    <row r="47" spans="1:15" x14ac:dyDescent="0.3">
      <c r="D47" s="1"/>
    </row>
    <row r="48" spans="1:15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8315-80A6-4D5A-86E0-4A7C60BFBB7E}">
  <dimension ref="A1:J315"/>
  <sheetViews>
    <sheetView topLeftCell="A112" zoomScaleNormal="100" workbookViewId="0">
      <selection activeCell="G14" sqref="G14"/>
    </sheetView>
  </sheetViews>
  <sheetFormatPr defaultRowHeight="14.4" x14ac:dyDescent="0.3"/>
  <cols>
    <col min="1" max="1" width="25.6640625" bestFit="1" customWidth="1"/>
    <col min="2" max="2" width="9.33203125" bestFit="1" customWidth="1"/>
    <col min="3" max="4" width="17.33203125" style="6" bestFit="1" customWidth="1"/>
    <col min="5" max="5" width="8.109375" bestFit="1" customWidth="1"/>
    <col min="6" max="6" width="6.88671875" style="5" customWidth="1"/>
    <col min="7" max="7" width="10.109375" style="5" customWidth="1"/>
    <col min="8" max="8" width="9.109375" style="3" bestFit="1" customWidth="1"/>
    <col min="9" max="9" width="9.109375" style="3" customWidth="1"/>
    <col min="10" max="10" width="31.5546875" customWidth="1"/>
    <col min="12" max="14" width="9.109375" customWidth="1"/>
    <col min="15" max="16" width="18.5546875" bestFit="1" customWidth="1"/>
  </cols>
  <sheetData>
    <row r="1" spans="1:10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61</v>
      </c>
      <c r="H1" s="3" t="s">
        <v>28</v>
      </c>
      <c r="I1" s="3" t="s">
        <v>402</v>
      </c>
      <c r="J1" t="s">
        <v>10</v>
      </c>
    </row>
    <row r="2" spans="1:10" x14ac:dyDescent="0.3">
      <c r="A2" t="s">
        <v>33</v>
      </c>
      <c r="B2">
        <v>1</v>
      </c>
      <c r="C2" s="6">
        <v>45832.473692129628</v>
      </c>
      <c r="D2" s="6">
        <v>45832.475428240738</v>
      </c>
      <c r="E2" s="13">
        <v>203</v>
      </c>
      <c r="F2" s="5">
        <v>84.5</v>
      </c>
      <c r="G2" s="8" t="s">
        <v>45</v>
      </c>
    </row>
    <row r="3" spans="1:10" x14ac:dyDescent="0.3">
      <c r="A3" t="s">
        <v>33</v>
      </c>
      <c r="B3">
        <v>2</v>
      </c>
      <c r="C3" s="6">
        <v>45832.476446759261</v>
      </c>
      <c r="D3" s="6">
        <v>45832.478125000001</v>
      </c>
      <c r="E3" s="13">
        <v>192</v>
      </c>
      <c r="F3" s="5">
        <v>79.2</v>
      </c>
      <c r="G3" s="8" t="s">
        <v>47</v>
      </c>
    </row>
    <row r="4" spans="1:10" x14ac:dyDescent="0.3">
      <c r="A4" t="s">
        <v>33</v>
      </c>
      <c r="B4">
        <v>3</v>
      </c>
      <c r="C4" s="6">
        <v>45832.478495370371</v>
      </c>
      <c r="D4" s="6">
        <v>45832.480000000003</v>
      </c>
      <c r="E4" s="13">
        <v>183</v>
      </c>
      <c r="F4" s="5">
        <v>62.8</v>
      </c>
      <c r="G4" s="8" t="s">
        <v>48</v>
      </c>
    </row>
    <row r="5" spans="1:10" x14ac:dyDescent="0.3">
      <c r="A5" t="s">
        <v>33</v>
      </c>
      <c r="B5">
        <v>4</v>
      </c>
      <c r="C5" s="6">
        <v>45832.479490740741</v>
      </c>
      <c r="D5" s="6">
        <v>45832.479826388888</v>
      </c>
      <c r="E5" s="13">
        <v>213</v>
      </c>
      <c r="F5" s="5">
        <v>108.7</v>
      </c>
      <c r="G5" s="8" t="s">
        <v>49</v>
      </c>
    </row>
    <row r="6" spans="1:10" x14ac:dyDescent="0.3">
      <c r="A6" t="s">
        <v>33</v>
      </c>
      <c r="B6">
        <v>5</v>
      </c>
      <c r="C6" s="6">
        <v>45832.480428240742</v>
      </c>
      <c r="D6" s="6">
        <v>45832.480856481481</v>
      </c>
      <c r="E6" s="13">
        <v>211</v>
      </c>
      <c r="F6" s="5">
        <v>95.4</v>
      </c>
      <c r="G6" s="8" t="s">
        <v>50</v>
      </c>
    </row>
    <row r="7" spans="1:10" x14ac:dyDescent="0.3">
      <c r="A7" t="s">
        <v>42</v>
      </c>
      <c r="B7">
        <v>1</v>
      </c>
      <c r="C7" s="6">
        <v>45832.518611111111</v>
      </c>
      <c r="D7" s="6">
        <v>45832.518865740742</v>
      </c>
      <c r="E7" s="13">
        <v>202</v>
      </c>
      <c r="F7" s="5">
        <v>85.39</v>
      </c>
      <c r="G7" s="8" t="s">
        <v>51</v>
      </c>
    </row>
    <row r="8" spans="1:10" x14ac:dyDescent="0.3">
      <c r="A8" t="s">
        <v>42</v>
      </c>
      <c r="B8">
        <v>2</v>
      </c>
      <c r="C8" s="6">
        <v>45832.522731481484</v>
      </c>
      <c r="D8" s="6">
        <v>45832.523530092592</v>
      </c>
      <c r="E8" s="13">
        <v>197</v>
      </c>
      <c r="F8" s="5">
        <v>76.150000000000006</v>
      </c>
      <c r="G8" s="8" t="s">
        <v>52</v>
      </c>
    </row>
    <row r="9" spans="1:10" x14ac:dyDescent="0.3">
      <c r="A9" t="s">
        <v>42</v>
      </c>
      <c r="B9">
        <v>3</v>
      </c>
      <c r="C9" s="13" t="s">
        <v>39</v>
      </c>
      <c r="D9" s="13" t="s">
        <v>39</v>
      </c>
      <c r="E9" s="13" t="s">
        <v>39</v>
      </c>
      <c r="F9" s="5" t="s">
        <v>39</v>
      </c>
      <c r="G9" s="8" t="s">
        <v>39</v>
      </c>
      <c r="H9" s="3">
        <v>1</v>
      </c>
      <c r="J9" t="s">
        <v>53</v>
      </c>
    </row>
    <row r="10" spans="1:10" x14ac:dyDescent="0.3">
      <c r="A10" t="s">
        <v>42</v>
      </c>
      <c r="B10">
        <v>4</v>
      </c>
      <c r="C10" s="13" t="s">
        <v>39</v>
      </c>
      <c r="D10" s="13" t="s">
        <v>39</v>
      </c>
      <c r="E10" s="13" t="s">
        <v>39</v>
      </c>
      <c r="F10" s="5" t="s">
        <v>39</v>
      </c>
      <c r="G10" s="8" t="s">
        <v>39</v>
      </c>
      <c r="H10" s="3">
        <v>1</v>
      </c>
      <c r="J10" t="s">
        <v>53</v>
      </c>
    </row>
    <row r="11" spans="1:10" x14ac:dyDescent="0.3">
      <c r="A11" t="s">
        <v>42</v>
      </c>
      <c r="B11">
        <v>5</v>
      </c>
      <c r="C11" s="13" t="s">
        <v>39</v>
      </c>
      <c r="D11" s="13" t="s">
        <v>39</v>
      </c>
      <c r="E11" s="13" t="s">
        <v>39</v>
      </c>
      <c r="F11" s="5" t="s">
        <v>39</v>
      </c>
      <c r="G11" s="8" t="s">
        <v>39</v>
      </c>
      <c r="H11" s="3">
        <v>1</v>
      </c>
      <c r="J11" t="s">
        <v>53</v>
      </c>
    </row>
    <row r="12" spans="1:10" x14ac:dyDescent="0.3">
      <c r="A12" t="s">
        <v>43</v>
      </c>
      <c r="B12">
        <v>1</v>
      </c>
      <c r="C12" s="6">
        <v>45832.563888888886</v>
      </c>
      <c r="D12" s="6">
        <v>45832.564328703702</v>
      </c>
      <c r="E12" s="13">
        <v>169</v>
      </c>
      <c r="F12" s="5">
        <v>51.91</v>
      </c>
      <c r="G12" s="8" t="s">
        <v>55</v>
      </c>
    </row>
    <row r="13" spans="1:10" x14ac:dyDescent="0.3">
      <c r="A13" t="s">
        <v>43</v>
      </c>
      <c r="B13">
        <v>2</v>
      </c>
      <c r="C13" s="6">
        <v>45832.564131944448</v>
      </c>
      <c r="D13" s="6">
        <v>45832.566655092596</v>
      </c>
      <c r="E13" s="13">
        <v>209</v>
      </c>
      <c r="F13" s="5">
        <v>94.52</v>
      </c>
      <c r="G13" s="8" t="s">
        <v>56</v>
      </c>
    </row>
    <row r="14" spans="1:10" x14ac:dyDescent="0.3">
      <c r="A14" t="s">
        <v>43</v>
      </c>
      <c r="B14">
        <v>3</v>
      </c>
      <c r="C14" s="6">
        <v>45832.564236111109</v>
      </c>
      <c r="D14" s="6">
        <v>45832.566736111112</v>
      </c>
      <c r="E14" s="13">
        <v>161</v>
      </c>
      <c r="F14" s="5">
        <v>35</v>
      </c>
      <c r="G14" s="8" t="s">
        <v>57</v>
      </c>
    </row>
    <row r="15" spans="1:10" x14ac:dyDescent="0.3">
      <c r="A15" t="s">
        <v>43</v>
      </c>
      <c r="B15">
        <v>4</v>
      </c>
      <c r="C15" s="6">
        <v>45832.564293981479</v>
      </c>
      <c r="D15" s="6">
        <v>45832.571932870371</v>
      </c>
      <c r="E15" s="13">
        <v>148</v>
      </c>
      <c r="F15" s="5">
        <v>33.33</v>
      </c>
      <c r="G15" s="8" t="s">
        <v>58</v>
      </c>
      <c r="J15" t="s">
        <v>59</v>
      </c>
    </row>
    <row r="16" spans="1:10" x14ac:dyDescent="0.3">
      <c r="A16" t="s">
        <v>43</v>
      </c>
      <c r="B16">
        <v>5</v>
      </c>
      <c r="C16" s="6">
        <v>45832.56454861111</v>
      </c>
      <c r="D16" s="6">
        <v>45832.568090277775</v>
      </c>
      <c r="E16" s="13">
        <v>177</v>
      </c>
      <c r="F16" s="5">
        <v>56.74</v>
      </c>
      <c r="G16" s="8" t="s">
        <v>60</v>
      </c>
    </row>
    <row r="17" spans="1:10" x14ac:dyDescent="0.3">
      <c r="A17" t="s">
        <v>77</v>
      </c>
      <c r="B17">
        <v>1</v>
      </c>
      <c r="C17" s="6">
        <v>45833.515196759261</v>
      </c>
      <c r="D17" s="6">
        <v>45833.515694444446</v>
      </c>
      <c r="E17">
        <v>126</v>
      </c>
      <c r="F17" s="5">
        <v>20.63</v>
      </c>
      <c r="G17" s="14" t="s">
        <v>94</v>
      </c>
    </row>
    <row r="18" spans="1:10" x14ac:dyDescent="0.3">
      <c r="A18" t="s">
        <v>77</v>
      </c>
      <c r="B18">
        <v>2</v>
      </c>
      <c r="C18" s="6">
        <v>45833.515381944446</v>
      </c>
      <c r="D18" s="6">
        <v>45833.515925925924</v>
      </c>
      <c r="E18">
        <v>141</v>
      </c>
      <c r="F18" s="5">
        <v>31.4</v>
      </c>
      <c r="G18" s="14" t="s">
        <v>95</v>
      </c>
    </row>
    <row r="19" spans="1:10" x14ac:dyDescent="0.3">
      <c r="A19" t="s">
        <v>77</v>
      </c>
      <c r="B19">
        <v>3</v>
      </c>
      <c r="C19" s="6">
        <v>45833.515810185185</v>
      </c>
      <c r="D19" s="6">
        <v>45833.516446759262</v>
      </c>
      <c r="E19">
        <v>182</v>
      </c>
      <c r="F19" s="5">
        <v>62.13</v>
      </c>
      <c r="G19" s="14" t="s">
        <v>96</v>
      </c>
    </row>
    <row r="20" spans="1:10" x14ac:dyDescent="0.3">
      <c r="A20" t="s">
        <v>77</v>
      </c>
      <c r="B20">
        <v>4</v>
      </c>
      <c r="C20" s="6">
        <v>45833.516134259262</v>
      </c>
      <c r="D20" s="6">
        <v>45833.525706018518</v>
      </c>
      <c r="E20">
        <v>173</v>
      </c>
      <c r="F20" s="5">
        <v>50.85</v>
      </c>
      <c r="G20" s="14" t="s">
        <v>97</v>
      </c>
      <c r="J20" t="s">
        <v>98</v>
      </c>
    </row>
    <row r="21" spans="1:10" x14ac:dyDescent="0.3">
      <c r="A21" t="s">
        <v>77</v>
      </c>
      <c r="B21">
        <v>5</v>
      </c>
      <c r="C21" s="6">
        <v>45833.516643518517</v>
      </c>
      <c r="D21" s="6">
        <v>45833.517546296294</v>
      </c>
      <c r="E21">
        <v>168</v>
      </c>
      <c r="F21" s="5">
        <v>48.18</v>
      </c>
      <c r="G21" s="14" t="s">
        <v>99</v>
      </c>
    </row>
    <row r="22" spans="1:10" x14ac:dyDescent="0.3">
      <c r="A22" t="s">
        <v>78</v>
      </c>
      <c r="B22">
        <v>1</v>
      </c>
      <c r="C22" s="6">
        <v>45833.559594907405</v>
      </c>
      <c r="D22" s="6">
        <v>45833.560995370368</v>
      </c>
      <c r="E22">
        <v>146</v>
      </c>
      <c r="F22" s="5">
        <v>36.57</v>
      </c>
      <c r="G22" s="14" t="s">
        <v>100</v>
      </c>
    </row>
    <row r="23" spans="1:10" x14ac:dyDescent="0.3">
      <c r="A23" t="s">
        <v>78</v>
      </c>
      <c r="B23">
        <v>2</v>
      </c>
      <c r="C23" s="6">
        <v>45833.559699074074</v>
      </c>
      <c r="D23" s="6">
        <v>45833.561249999999</v>
      </c>
      <c r="E23">
        <v>147</v>
      </c>
      <c r="F23" s="5">
        <v>29.03</v>
      </c>
      <c r="G23" s="14" t="s">
        <v>101</v>
      </c>
    </row>
    <row r="24" spans="1:10" x14ac:dyDescent="0.3">
      <c r="A24" t="s">
        <v>78</v>
      </c>
      <c r="B24">
        <v>3</v>
      </c>
      <c r="C24" s="6">
        <v>45833.559988425928</v>
      </c>
      <c r="D24" s="6">
        <v>45833.561620370368</v>
      </c>
      <c r="E24">
        <v>139</v>
      </c>
      <c r="F24" s="5">
        <v>28.68</v>
      </c>
      <c r="G24" s="14" t="s">
        <v>102</v>
      </c>
    </row>
    <row r="25" spans="1:10" x14ac:dyDescent="0.3">
      <c r="A25" t="s">
        <v>78</v>
      </c>
      <c r="B25">
        <v>4</v>
      </c>
      <c r="C25" s="6">
        <v>45833.560949074075</v>
      </c>
      <c r="D25" s="6">
        <v>45833.562962962962</v>
      </c>
      <c r="E25">
        <v>168</v>
      </c>
      <c r="F25" s="5">
        <v>44.85</v>
      </c>
      <c r="G25" s="14" t="s">
        <v>103</v>
      </c>
    </row>
    <row r="26" spans="1:10" x14ac:dyDescent="0.3">
      <c r="A26" t="s">
        <v>78</v>
      </c>
      <c r="B26">
        <v>5</v>
      </c>
      <c r="C26" s="6">
        <v>45833.561053240737</v>
      </c>
      <c r="D26" s="6">
        <v>45833.577476851853</v>
      </c>
      <c r="E26">
        <v>161</v>
      </c>
      <c r="F26" s="5">
        <v>36.159999999999997</v>
      </c>
      <c r="G26" s="14" t="s">
        <v>104</v>
      </c>
      <c r="J26" t="s">
        <v>105</v>
      </c>
    </row>
    <row r="27" spans="1:10" x14ac:dyDescent="0.3">
      <c r="A27" t="s">
        <v>79</v>
      </c>
      <c r="B27">
        <v>1</v>
      </c>
      <c r="C27" s="6">
        <v>45833.608055555553</v>
      </c>
      <c r="D27" s="6">
        <v>45833.609490740739</v>
      </c>
      <c r="E27">
        <v>191</v>
      </c>
      <c r="F27" s="5">
        <v>65.650000000000006</v>
      </c>
      <c r="G27" s="14" t="s">
        <v>106</v>
      </c>
    </row>
    <row r="28" spans="1:10" x14ac:dyDescent="0.3">
      <c r="A28" t="s">
        <v>79</v>
      </c>
      <c r="B28">
        <v>2</v>
      </c>
      <c r="C28" s="6">
        <v>45833.608171296299</v>
      </c>
      <c r="D28" s="6">
        <v>45833.612962962965</v>
      </c>
      <c r="E28">
        <v>143</v>
      </c>
      <c r="F28" s="5">
        <v>27.43</v>
      </c>
      <c r="G28" s="14" t="s">
        <v>107</v>
      </c>
    </row>
    <row r="29" spans="1:10" x14ac:dyDescent="0.3">
      <c r="A29" t="s">
        <v>79</v>
      </c>
      <c r="B29">
        <v>3</v>
      </c>
      <c r="C29" s="6">
        <v>45833.60837962963</v>
      </c>
      <c r="D29" s="6">
        <v>45833.609050925923</v>
      </c>
      <c r="E29">
        <v>121</v>
      </c>
      <c r="F29" s="5">
        <v>18</v>
      </c>
      <c r="G29" s="14" t="s">
        <v>108</v>
      </c>
    </row>
    <row r="30" spans="1:10" x14ac:dyDescent="0.3">
      <c r="A30" t="s">
        <v>79</v>
      </c>
      <c r="B30">
        <v>4</v>
      </c>
      <c r="C30" s="6">
        <v>45833.60869212963</v>
      </c>
      <c r="D30" s="6">
        <v>45833.609224537038</v>
      </c>
      <c r="E30">
        <v>132</v>
      </c>
      <c r="F30" s="5">
        <v>22.52</v>
      </c>
      <c r="G30" s="14" t="s">
        <v>109</v>
      </c>
    </row>
    <row r="31" spans="1:10" x14ac:dyDescent="0.3">
      <c r="A31" t="s">
        <v>79</v>
      </c>
      <c r="B31">
        <v>5</v>
      </c>
      <c r="C31" s="6">
        <v>45833.608784722222</v>
      </c>
      <c r="D31" s="6">
        <v>45833.609606481485</v>
      </c>
      <c r="E31">
        <v>144</v>
      </c>
      <c r="F31" s="5">
        <v>28</v>
      </c>
      <c r="G31" s="14" t="s">
        <v>110</v>
      </c>
    </row>
    <row r="32" spans="1:10" x14ac:dyDescent="0.3">
      <c r="A32" t="s">
        <v>111</v>
      </c>
      <c r="B32">
        <v>1</v>
      </c>
      <c r="C32" s="6">
        <v>45834.466215277775</v>
      </c>
      <c r="D32" s="6">
        <v>45834.466550925928</v>
      </c>
      <c r="E32">
        <v>212</v>
      </c>
      <c r="F32" s="5">
        <v>115.08</v>
      </c>
      <c r="G32" s="5" t="s">
        <v>125</v>
      </c>
      <c r="J32" t="s">
        <v>126</v>
      </c>
    </row>
    <row r="33" spans="1:10" x14ac:dyDescent="0.3">
      <c r="A33" t="s">
        <v>111</v>
      </c>
      <c r="B33">
        <v>2</v>
      </c>
      <c r="C33" s="6">
        <v>45834.472708333335</v>
      </c>
      <c r="D33" s="6">
        <v>45834.474062499998</v>
      </c>
      <c r="E33">
        <v>156</v>
      </c>
      <c r="F33" s="5">
        <v>40.08</v>
      </c>
      <c r="G33" s="5" t="s">
        <v>127</v>
      </c>
    </row>
    <row r="34" spans="1:10" x14ac:dyDescent="0.3">
      <c r="A34" t="s">
        <v>111</v>
      </c>
      <c r="B34">
        <v>3</v>
      </c>
      <c r="C34" s="6">
        <v>45834.47283564815</v>
      </c>
      <c r="D34" s="6">
        <v>45834.474409722221</v>
      </c>
      <c r="E34">
        <v>123</v>
      </c>
      <c r="F34" s="5">
        <v>18.03</v>
      </c>
      <c r="G34" s="5" t="s">
        <v>128</v>
      </c>
      <c r="J34" t="s">
        <v>129</v>
      </c>
    </row>
    <row r="35" spans="1:10" x14ac:dyDescent="0.3">
      <c r="A35" t="s">
        <v>111</v>
      </c>
      <c r="B35">
        <v>4</v>
      </c>
      <c r="C35" s="6">
        <v>45834.472951388889</v>
      </c>
      <c r="D35" s="6">
        <v>45834.476041666669</v>
      </c>
      <c r="E35">
        <v>153</v>
      </c>
      <c r="F35" s="5">
        <v>34.409999999999997</v>
      </c>
      <c r="G35" s="5" t="s">
        <v>130</v>
      </c>
    </row>
    <row r="36" spans="1:10" x14ac:dyDescent="0.3">
      <c r="A36" t="s">
        <v>111</v>
      </c>
      <c r="B36">
        <v>5</v>
      </c>
      <c r="C36" s="6">
        <v>45834.473136574074</v>
      </c>
      <c r="D36" s="6">
        <v>45834.47384259259</v>
      </c>
      <c r="E36">
        <v>123</v>
      </c>
      <c r="F36" s="5">
        <v>16.8</v>
      </c>
      <c r="G36" s="5" t="s">
        <v>131</v>
      </c>
    </row>
    <row r="37" spans="1:10" x14ac:dyDescent="0.3">
      <c r="A37" t="s">
        <v>112</v>
      </c>
      <c r="B37">
        <v>1</v>
      </c>
      <c r="C37" s="6">
        <v>45834.515682870369</v>
      </c>
      <c r="D37" s="6">
        <v>45834.518217592595</v>
      </c>
      <c r="E37">
        <v>173</v>
      </c>
      <c r="F37" s="5">
        <v>54.09</v>
      </c>
      <c r="G37" s="5" t="s">
        <v>132</v>
      </c>
    </row>
    <row r="38" spans="1:10" x14ac:dyDescent="0.3">
      <c r="A38" t="s">
        <v>112</v>
      </c>
      <c r="B38">
        <v>2</v>
      </c>
      <c r="C38" s="6">
        <v>45834.5159375</v>
      </c>
      <c r="D38" s="6">
        <v>45834.517696759256</v>
      </c>
      <c r="E38">
        <v>178</v>
      </c>
      <c r="F38" s="5">
        <v>51.61</v>
      </c>
      <c r="G38" s="5" t="s">
        <v>133</v>
      </c>
    </row>
    <row r="39" spans="1:10" x14ac:dyDescent="0.3">
      <c r="A39" t="s">
        <v>112</v>
      </c>
      <c r="B39">
        <v>3</v>
      </c>
      <c r="C39" s="6">
        <v>45834.516631944447</v>
      </c>
      <c r="D39" s="6">
        <v>45834.526377314818</v>
      </c>
      <c r="E39">
        <v>167</v>
      </c>
      <c r="F39" s="5">
        <v>42.67</v>
      </c>
      <c r="G39" s="5" t="s">
        <v>134</v>
      </c>
    </row>
    <row r="40" spans="1:10" x14ac:dyDescent="0.3">
      <c r="A40" t="s">
        <v>112</v>
      </c>
      <c r="B40">
        <v>4</v>
      </c>
      <c r="C40" s="6">
        <v>45834.516701388886</v>
      </c>
      <c r="D40" s="6">
        <v>45834.518368055556</v>
      </c>
      <c r="E40">
        <v>133</v>
      </c>
      <c r="F40" s="5">
        <v>21.84</v>
      </c>
      <c r="G40" s="5" t="s">
        <v>135</v>
      </c>
    </row>
    <row r="41" spans="1:10" x14ac:dyDescent="0.3">
      <c r="A41" t="s">
        <v>112</v>
      </c>
      <c r="B41">
        <v>5</v>
      </c>
      <c r="C41" s="6">
        <v>45834.517708333333</v>
      </c>
      <c r="D41" s="6">
        <v>45834.525312500002</v>
      </c>
      <c r="E41">
        <v>174</v>
      </c>
      <c r="F41" s="5">
        <v>51.29</v>
      </c>
      <c r="G41" s="5" t="s">
        <v>136</v>
      </c>
    </row>
    <row r="42" spans="1:10" x14ac:dyDescent="0.3">
      <c r="A42" t="s">
        <v>113</v>
      </c>
      <c r="B42">
        <v>1</v>
      </c>
      <c r="C42" s="6">
        <v>45834.563738425924</v>
      </c>
      <c r="D42" s="6">
        <v>45834.566192129627</v>
      </c>
      <c r="E42">
        <v>169</v>
      </c>
      <c r="F42" s="5">
        <v>43.97</v>
      </c>
      <c r="G42" s="5" t="s">
        <v>137</v>
      </c>
    </row>
    <row r="43" spans="1:10" x14ac:dyDescent="0.3">
      <c r="A43" t="s">
        <v>113</v>
      </c>
      <c r="B43">
        <v>2</v>
      </c>
      <c r="C43" s="6">
        <v>45834.564004629632</v>
      </c>
      <c r="D43" s="6">
        <v>45834.565138888887</v>
      </c>
      <c r="E43">
        <v>136</v>
      </c>
      <c r="F43" s="5">
        <v>23.76</v>
      </c>
      <c r="G43" s="5" t="s">
        <v>138</v>
      </c>
    </row>
    <row r="44" spans="1:10" x14ac:dyDescent="0.3">
      <c r="A44" t="s">
        <v>113</v>
      </c>
      <c r="B44">
        <v>3</v>
      </c>
      <c r="C44" s="6">
        <v>45834.564780092594</v>
      </c>
      <c r="D44" s="6">
        <v>45834.568680555552</v>
      </c>
      <c r="E44">
        <v>128</v>
      </c>
      <c r="F44" s="5">
        <v>18.03</v>
      </c>
      <c r="G44" s="5" t="s">
        <v>139</v>
      </c>
    </row>
    <row r="45" spans="1:10" x14ac:dyDescent="0.3">
      <c r="A45" t="s">
        <v>113</v>
      </c>
      <c r="B45">
        <v>4</v>
      </c>
      <c r="C45" s="6">
        <v>45834.564814814818</v>
      </c>
      <c r="D45" s="6">
        <v>45834.568541666667</v>
      </c>
      <c r="E45">
        <v>153</v>
      </c>
      <c r="F45" s="5">
        <v>34.69</v>
      </c>
      <c r="G45" s="5" t="s">
        <v>140</v>
      </c>
    </row>
    <row r="46" spans="1:10" x14ac:dyDescent="0.3">
      <c r="A46" t="s">
        <v>113</v>
      </c>
      <c r="B46">
        <v>5</v>
      </c>
      <c r="C46" s="6">
        <v>45834.56591435185</v>
      </c>
      <c r="D46" s="6" t="s">
        <v>39</v>
      </c>
      <c r="E46" t="s">
        <v>39</v>
      </c>
      <c r="F46" s="5" t="s">
        <v>39</v>
      </c>
      <c r="G46" s="5" t="s">
        <v>39</v>
      </c>
      <c r="H46" s="3">
        <v>1</v>
      </c>
      <c r="J46" t="s">
        <v>28</v>
      </c>
    </row>
    <row r="47" spans="1:10" x14ac:dyDescent="0.3">
      <c r="A47" t="s">
        <v>141</v>
      </c>
      <c r="B47">
        <v>1</v>
      </c>
      <c r="C47" s="6">
        <v>45840.476168981484</v>
      </c>
      <c r="D47" s="6">
        <v>45840.480902777781</v>
      </c>
      <c r="E47">
        <v>146</v>
      </c>
      <c r="F47" s="5">
        <v>28.19</v>
      </c>
      <c r="G47" s="5" t="s">
        <v>155</v>
      </c>
    </row>
    <row r="48" spans="1:10" x14ac:dyDescent="0.3">
      <c r="A48" t="s">
        <v>141</v>
      </c>
      <c r="B48">
        <v>2</v>
      </c>
      <c r="C48" s="6">
        <v>45840.479641203703</v>
      </c>
      <c r="D48" s="6">
        <v>45840.480000000003</v>
      </c>
      <c r="E48">
        <v>162</v>
      </c>
      <c r="F48" s="5">
        <v>41.74</v>
      </c>
      <c r="G48" s="5" t="s">
        <v>156</v>
      </c>
    </row>
    <row r="49" spans="1:10" x14ac:dyDescent="0.3">
      <c r="A49" t="s">
        <v>141</v>
      </c>
      <c r="B49">
        <v>3</v>
      </c>
      <c r="C49" s="6">
        <v>45840.479814814818</v>
      </c>
      <c r="D49" s="6">
        <v>45840.482418981483</v>
      </c>
      <c r="E49">
        <v>204</v>
      </c>
      <c r="F49" s="5">
        <v>90.51</v>
      </c>
      <c r="G49" s="5" t="s">
        <v>157</v>
      </c>
      <c r="J49" t="s">
        <v>158</v>
      </c>
    </row>
    <row r="50" spans="1:10" x14ac:dyDescent="0.3">
      <c r="A50" t="s">
        <v>141</v>
      </c>
      <c r="B50">
        <v>4</v>
      </c>
      <c r="C50" s="6">
        <v>45840.481076388889</v>
      </c>
      <c r="D50" s="6">
        <v>45840.484652777777</v>
      </c>
      <c r="E50">
        <v>153</v>
      </c>
      <c r="F50" s="5">
        <v>32.409999999999997</v>
      </c>
      <c r="G50" s="5" t="s">
        <v>159</v>
      </c>
    </row>
    <row r="51" spans="1:10" x14ac:dyDescent="0.3">
      <c r="A51" t="s">
        <v>141</v>
      </c>
      <c r="B51">
        <v>5</v>
      </c>
      <c r="C51" s="6">
        <v>45840.481516203705</v>
      </c>
      <c r="D51" s="6">
        <v>45840.484988425924</v>
      </c>
      <c r="E51">
        <v>158</v>
      </c>
      <c r="F51" s="5">
        <v>36.299999999999997</v>
      </c>
      <c r="G51" s="5" t="s">
        <v>160</v>
      </c>
    </row>
    <row r="52" spans="1:10" x14ac:dyDescent="0.3">
      <c r="A52" t="s">
        <v>142</v>
      </c>
      <c r="B52">
        <v>1</v>
      </c>
      <c r="C52" s="6">
        <v>45840.514155092591</v>
      </c>
      <c r="D52" s="6">
        <v>45840.514293981483</v>
      </c>
      <c r="E52">
        <v>162</v>
      </c>
      <c r="F52" s="5">
        <v>44.71</v>
      </c>
      <c r="G52" s="5" t="s">
        <v>161</v>
      </c>
      <c r="J52" t="s">
        <v>162</v>
      </c>
    </row>
    <row r="53" spans="1:10" x14ac:dyDescent="0.3">
      <c r="A53" t="s">
        <v>142</v>
      </c>
      <c r="B53">
        <v>2</v>
      </c>
      <c r="C53" s="6">
        <v>45840.528194444443</v>
      </c>
      <c r="D53" s="6">
        <v>45840.529907407406</v>
      </c>
      <c r="E53">
        <v>134</v>
      </c>
      <c r="F53" s="5">
        <v>23</v>
      </c>
      <c r="G53" s="5" t="s">
        <v>163</v>
      </c>
      <c r="J53" t="s">
        <v>164</v>
      </c>
    </row>
    <row r="54" spans="1:10" x14ac:dyDescent="0.3">
      <c r="A54" t="s">
        <v>142</v>
      </c>
      <c r="B54">
        <v>3</v>
      </c>
      <c r="C54" s="6">
        <v>45840.52915509259</v>
      </c>
      <c r="D54" s="6">
        <v>45840.531377314815</v>
      </c>
      <c r="E54">
        <v>177</v>
      </c>
      <c r="F54" s="5">
        <v>56.3</v>
      </c>
      <c r="G54" s="5" t="s">
        <v>165</v>
      </c>
    </row>
    <row r="55" spans="1:10" x14ac:dyDescent="0.3">
      <c r="A55" t="s">
        <v>142</v>
      </c>
      <c r="B55">
        <v>4</v>
      </c>
      <c r="C55" s="6">
        <v>45840.52921296296</v>
      </c>
      <c r="D55" s="6">
        <v>45840.532384259262</v>
      </c>
      <c r="E55">
        <v>190</v>
      </c>
      <c r="F55" s="5">
        <v>64.72</v>
      </c>
      <c r="G55" s="5" t="s">
        <v>166</v>
      </c>
    </row>
    <row r="56" spans="1:10" x14ac:dyDescent="0.3">
      <c r="A56" t="s">
        <v>142</v>
      </c>
      <c r="B56">
        <v>5</v>
      </c>
      <c r="C56" s="6">
        <v>45840.529814814814</v>
      </c>
      <c r="D56" s="6">
        <v>45840.531886574077</v>
      </c>
      <c r="E56">
        <v>179</v>
      </c>
      <c r="F56" s="5">
        <v>56.41</v>
      </c>
      <c r="G56" s="5" t="s">
        <v>167</v>
      </c>
    </row>
    <row r="57" spans="1:10" x14ac:dyDescent="0.3">
      <c r="A57" t="s">
        <v>143</v>
      </c>
      <c r="B57">
        <v>1</v>
      </c>
      <c r="C57" s="6">
        <v>45840.574293981481</v>
      </c>
      <c r="D57" s="6">
        <v>45840.574490740742</v>
      </c>
      <c r="E57">
        <v>117</v>
      </c>
      <c r="F57" s="5">
        <v>13.3</v>
      </c>
      <c r="G57" s="5" t="s">
        <v>168</v>
      </c>
      <c r="J57" t="s">
        <v>169</v>
      </c>
    </row>
    <row r="58" spans="1:10" x14ac:dyDescent="0.3">
      <c r="A58" t="s">
        <v>143</v>
      </c>
      <c r="B58">
        <v>2</v>
      </c>
      <c r="C58" s="6">
        <v>45840.575300925928</v>
      </c>
      <c r="D58" s="6">
        <v>45840.576608796298</v>
      </c>
      <c r="E58">
        <v>159</v>
      </c>
      <c r="F58" s="5">
        <v>39.28</v>
      </c>
      <c r="G58" s="5" t="s">
        <v>170</v>
      </c>
    </row>
    <row r="59" spans="1:10" x14ac:dyDescent="0.3">
      <c r="A59" t="s">
        <v>143</v>
      </c>
      <c r="B59">
        <v>3</v>
      </c>
      <c r="C59" s="6">
        <v>45840.576307870368</v>
      </c>
      <c r="D59" s="6">
        <v>45840.579293981478</v>
      </c>
      <c r="E59">
        <v>163</v>
      </c>
      <c r="F59" s="5">
        <v>45.31</v>
      </c>
      <c r="G59" s="5" t="s">
        <v>171</v>
      </c>
    </row>
    <row r="60" spans="1:10" x14ac:dyDescent="0.3">
      <c r="A60" t="s">
        <v>143</v>
      </c>
      <c r="B60">
        <v>4</v>
      </c>
      <c r="C60" s="6">
        <v>45840.578217592592</v>
      </c>
      <c r="D60" s="6">
        <v>45840.58315972222</v>
      </c>
      <c r="E60">
        <v>136</v>
      </c>
      <c r="F60" s="5">
        <v>23.8</v>
      </c>
      <c r="G60" s="5" t="s">
        <v>172</v>
      </c>
    </row>
    <row r="61" spans="1:10" x14ac:dyDescent="0.3">
      <c r="A61" t="s">
        <v>143</v>
      </c>
      <c r="B61">
        <v>5</v>
      </c>
      <c r="C61" s="6">
        <v>45840.5783912037</v>
      </c>
      <c r="D61" s="6">
        <v>45840.580150462964</v>
      </c>
      <c r="E61">
        <v>182</v>
      </c>
      <c r="F61" s="5">
        <v>62.65</v>
      </c>
      <c r="G61" s="5" t="s">
        <v>173</v>
      </c>
    </row>
    <row r="62" spans="1:10" x14ac:dyDescent="0.3">
      <c r="A62" t="s">
        <v>175</v>
      </c>
      <c r="B62">
        <v>1</v>
      </c>
      <c r="C62" s="6">
        <v>45874.538101851853</v>
      </c>
      <c r="D62" s="6">
        <v>45874.541875000003</v>
      </c>
      <c r="E62">
        <v>90</v>
      </c>
      <c r="F62" s="5">
        <v>6.64</v>
      </c>
      <c r="G62" s="5" t="s">
        <v>190</v>
      </c>
      <c r="I62" s="3">
        <v>1</v>
      </c>
      <c r="J62" t="s">
        <v>191</v>
      </c>
    </row>
    <row r="63" spans="1:10" x14ac:dyDescent="0.3">
      <c r="A63" t="s">
        <v>175</v>
      </c>
      <c r="B63">
        <v>2</v>
      </c>
      <c r="C63" s="6">
        <v>45874.562372685185</v>
      </c>
      <c r="D63" s="6">
        <v>45874.564918981479</v>
      </c>
      <c r="E63">
        <v>129</v>
      </c>
      <c r="F63" s="5">
        <v>19.350000000000001</v>
      </c>
      <c r="G63" s="5" t="s">
        <v>192</v>
      </c>
    </row>
    <row r="64" spans="1:10" x14ac:dyDescent="0.3">
      <c r="A64" t="s">
        <v>175</v>
      </c>
      <c r="B64">
        <v>3</v>
      </c>
      <c r="C64" s="6">
        <v>45874.562384259261</v>
      </c>
      <c r="D64" s="6">
        <v>45874.563043981485</v>
      </c>
      <c r="E64">
        <v>91</v>
      </c>
      <c r="F64" s="5">
        <v>6.76</v>
      </c>
      <c r="G64" s="5" t="s">
        <v>193</v>
      </c>
    </row>
    <row r="65" spans="1:10" x14ac:dyDescent="0.3">
      <c r="A65" t="s">
        <v>175</v>
      </c>
      <c r="B65">
        <v>4</v>
      </c>
      <c r="C65" s="6">
        <v>45874.564108796294</v>
      </c>
      <c r="D65" s="6">
        <v>45874.567361111112</v>
      </c>
      <c r="E65">
        <v>156</v>
      </c>
      <c r="F65" s="5">
        <v>36.21</v>
      </c>
      <c r="G65" s="5" t="s">
        <v>194</v>
      </c>
    </row>
    <row r="66" spans="1:10" x14ac:dyDescent="0.3">
      <c r="A66" t="s">
        <v>175</v>
      </c>
      <c r="B66">
        <v>5</v>
      </c>
      <c r="C66" s="6">
        <v>45874.564479166664</v>
      </c>
      <c r="D66" s="6">
        <v>45874.566435185188</v>
      </c>
      <c r="E66">
        <v>197</v>
      </c>
      <c r="F66" s="5">
        <v>71.34</v>
      </c>
      <c r="G66" s="5" t="s">
        <v>195</v>
      </c>
    </row>
    <row r="67" spans="1:10" x14ac:dyDescent="0.3">
      <c r="A67" t="s">
        <v>176</v>
      </c>
      <c r="B67">
        <v>1</v>
      </c>
      <c r="C67" s="6">
        <v>45874.61010416667</v>
      </c>
      <c r="D67" s="6">
        <v>45874.610879629632</v>
      </c>
      <c r="E67">
        <v>190</v>
      </c>
      <c r="F67" s="5">
        <v>72.87</v>
      </c>
      <c r="G67" s="5" t="s">
        <v>197</v>
      </c>
    </row>
    <row r="68" spans="1:10" x14ac:dyDescent="0.3">
      <c r="A68" t="s">
        <v>176</v>
      </c>
      <c r="B68">
        <v>2</v>
      </c>
      <c r="C68" s="6">
        <v>45874.611157407409</v>
      </c>
      <c r="D68" s="6">
        <v>45874.613078703704</v>
      </c>
      <c r="E68">
        <v>115</v>
      </c>
      <c r="F68" s="5">
        <v>16.399999999999999</v>
      </c>
      <c r="G68" s="5" t="s">
        <v>198</v>
      </c>
      <c r="J68" t="s">
        <v>199</v>
      </c>
    </row>
    <row r="69" spans="1:10" x14ac:dyDescent="0.3">
      <c r="A69" t="s">
        <v>176</v>
      </c>
      <c r="B69">
        <v>3</v>
      </c>
      <c r="C69" s="6">
        <v>45874.611759259256</v>
      </c>
      <c r="D69" s="6">
        <v>45874.612743055557</v>
      </c>
      <c r="E69">
        <v>92</v>
      </c>
      <c r="F69" s="5">
        <v>6.63</v>
      </c>
      <c r="G69" s="5" t="s">
        <v>200</v>
      </c>
    </row>
    <row r="70" spans="1:10" x14ac:dyDescent="0.3">
      <c r="A70" t="s">
        <v>176</v>
      </c>
      <c r="B70">
        <v>4</v>
      </c>
      <c r="C70" s="6">
        <v>45874.613252314812</v>
      </c>
      <c r="D70" s="6">
        <v>45874.617152777777</v>
      </c>
      <c r="E70">
        <v>147</v>
      </c>
      <c r="F70" s="5">
        <v>28.71</v>
      </c>
      <c r="G70" s="5" t="s">
        <v>208</v>
      </c>
    </row>
    <row r="71" spans="1:10" x14ac:dyDescent="0.3">
      <c r="A71" t="s">
        <v>176</v>
      </c>
      <c r="B71">
        <v>5</v>
      </c>
      <c r="C71" s="6">
        <v>45874.613402777781</v>
      </c>
      <c r="D71" s="6" t="s">
        <v>39</v>
      </c>
      <c r="E71" s="6" t="s">
        <v>39</v>
      </c>
      <c r="F71" s="6" t="s">
        <v>39</v>
      </c>
      <c r="G71" s="6" t="s">
        <v>39</v>
      </c>
      <c r="H71" s="3">
        <v>1</v>
      </c>
      <c r="J71" t="s">
        <v>28</v>
      </c>
    </row>
    <row r="72" spans="1:10" x14ac:dyDescent="0.3">
      <c r="A72" t="s">
        <v>177</v>
      </c>
      <c r="B72">
        <v>1</v>
      </c>
      <c r="C72" s="6">
        <v>45874.656574074077</v>
      </c>
      <c r="D72" s="6">
        <v>45874.657696759263</v>
      </c>
      <c r="E72">
        <v>93</v>
      </c>
      <c r="F72" s="5">
        <v>7.94</v>
      </c>
      <c r="G72" s="5" t="s">
        <v>201</v>
      </c>
    </row>
    <row r="73" spans="1:10" x14ac:dyDescent="0.3">
      <c r="A73" t="s">
        <v>177</v>
      </c>
      <c r="B73">
        <v>2</v>
      </c>
      <c r="C73" s="6">
        <v>45874.656782407408</v>
      </c>
      <c r="D73" s="6">
        <v>45874.658715277779</v>
      </c>
      <c r="E73">
        <v>149</v>
      </c>
      <c r="F73" s="5">
        <v>27.35</v>
      </c>
      <c r="G73" s="5" t="s">
        <v>202</v>
      </c>
    </row>
    <row r="74" spans="1:10" x14ac:dyDescent="0.3">
      <c r="A74" t="s">
        <v>177</v>
      </c>
      <c r="B74">
        <v>3</v>
      </c>
      <c r="C74" s="6">
        <v>45874.657627314817</v>
      </c>
      <c r="D74" s="6">
        <v>45874.65792824074</v>
      </c>
      <c r="E74">
        <v>88</v>
      </c>
      <c r="F74" s="5">
        <v>5.91</v>
      </c>
      <c r="G74" s="5" t="s">
        <v>203</v>
      </c>
      <c r="J74" t="s">
        <v>204</v>
      </c>
    </row>
    <row r="75" spans="1:10" x14ac:dyDescent="0.3">
      <c r="A75" t="s">
        <v>177</v>
      </c>
      <c r="B75">
        <v>4</v>
      </c>
      <c r="C75" s="6">
        <v>45874.658356481479</v>
      </c>
      <c r="D75" s="6">
        <v>45874.659583333334</v>
      </c>
      <c r="E75">
        <v>178</v>
      </c>
      <c r="F75" s="5">
        <v>49.4</v>
      </c>
      <c r="G75" s="5" t="s">
        <v>205</v>
      </c>
    </row>
    <row r="76" spans="1:10" x14ac:dyDescent="0.3">
      <c r="A76" t="s">
        <v>177</v>
      </c>
      <c r="B76">
        <v>5</v>
      </c>
      <c r="C76" s="6">
        <v>45874.658819444441</v>
      </c>
      <c r="D76" s="6">
        <v>45874.663703703707</v>
      </c>
      <c r="E76">
        <v>136</v>
      </c>
      <c r="F76" s="5">
        <v>20.100000000000001</v>
      </c>
      <c r="G76" s="5" t="s">
        <v>206</v>
      </c>
      <c r="J76" t="s">
        <v>207</v>
      </c>
    </row>
    <row r="77" spans="1:10" x14ac:dyDescent="0.3">
      <c r="A77" t="s">
        <v>209</v>
      </c>
      <c r="B77">
        <v>1</v>
      </c>
      <c r="C77" s="6">
        <v>45877.467777777776</v>
      </c>
      <c r="D77" s="6">
        <v>45877.469780092593</v>
      </c>
      <c r="E77">
        <v>84</v>
      </c>
      <c r="F77" s="5">
        <v>5.42</v>
      </c>
      <c r="G77" s="5" t="s">
        <v>224</v>
      </c>
    </row>
    <row r="78" spans="1:10" x14ac:dyDescent="0.3">
      <c r="A78" t="s">
        <v>209</v>
      </c>
      <c r="B78">
        <v>2</v>
      </c>
      <c r="C78" s="6">
        <v>45877.468136574076</v>
      </c>
      <c r="D78" s="6">
        <v>45877.468692129631</v>
      </c>
      <c r="E78">
        <v>193</v>
      </c>
      <c r="F78" s="5">
        <v>68.8</v>
      </c>
      <c r="G78" s="5" t="s">
        <v>225</v>
      </c>
    </row>
    <row r="79" spans="1:10" x14ac:dyDescent="0.3">
      <c r="A79" t="s">
        <v>209</v>
      </c>
      <c r="B79">
        <v>3</v>
      </c>
      <c r="C79" s="6">
        <v>45877.468252314815</v>
      </c>
      <c r="D79" s="6">
        <v>45877.468541666669</v>
      </c>
      <c r="E79">
        <v>220</v>
      </c>
      <c r="F79" s="5">
        <v>107.36</v>
      </c>
      <c r="G79" s="5" t="s">
        <v>226</v>
      </c>
    </row>
    <row r="80" spans="1:10" x14ac:dyDescent="0.3">
      <c r="A80" t="s">
        <v>209</v>
      </c>
      <c r="B80">
        <v>4</v>
      </c>
      <c r="C80" s="6">
        <v>45877.468344907407</v>
      </c>
      <c r="D80" s="6">
        <v>45877.469189814816</v>
      </c>
      <c r="E80">
        <v>172</v>
      </c>
      <c r="F80" s="5">
        <v>45.27</v>
      </c>
      <c r="G80" s="5" t="s">
        <v>227</v>
      </c>
    </row>
    <row r="81" spans="1:10" x14ac:dyDescent="0.3">
      <c r="A81" t="s">
        <v>209</v>
      </c>
      <c r="B81">
        <v>5</v>
      </c>
      <c r="C81" s="6">
        <v>45877.469664351855</v>
      </c>
      <c r="D81" s="6">
        <v>45877.470266203702</v>
      </c>
      <c r="E81">
        <v>176</v>
      </c>
      <c r="F81" s="5">
        <v>55.53</v>
      </c>
      <c r="G81" s="5" t="s">
        <v>228</v>
      </c>
    </row>
    <row r="82" spans="1:10" x14ac:dyDescent="0.3">
      <c r="A82" t="s">
        <v>210</v>
      </c>
      <c r="B82">
        <v>1</v>
      </c>
      <c r="C82" s="6">
        <v>45877.510462962964</v>
      </c>
      <c r="D82" s="6">
        <v>45877.511238425926</v>
      </c>
      <c r="E82">
        <v>89</v>
      </c>
      <c r="F82" s="5">
        <v>6.54</v>
      </c>
      <c r="G82" s="5" t="s">
        <v>229</v>
      </c>
    </row>
    <row r="83" spans="1:10" x14ac:dyDescent="0.3">
      <c r="A83" t="s">
        <v>210</v>
      </c>
      <c r="B83">
        <v>2</v>
      </c>
      <c r="C83" s="6">
        <v>45877.510520833333</v>
      </c>
      <c r="D83" s="6">
        <v>45877.511134259257</v>
      </c>
      <c r="E83">
        <v>86</v>
      </c>
      <c r="F83" s="5">
        <v>6.49</v>
      </c>
      <c r="G83" s="5" t="s">
        <v>230</v>
      </c>
      <c r="J83" t="s">
        <v>232</v>
      </c>
    </row>
    <row r="84" spans="1:10" x14ac:dyDescent="0.3">
      <c r="A84" t="s">
        <v>210</v>
      </c>
      <c r="B84">
        <v>3</v>
      </c>
      <c r="C84" s="6">
        <v>45877.510763888888</v>
      </c>
      <c r="D84" s="6">
        <v>45877.511111111111</v>
      </c>
      <c r="E84">
        <v>177</v>
      </c>
      <c r="F84" s="5">
        <v>55.14</v>
      </c>
      <c r="G84" s="5" t="s">
        <v>231</v>
      </c>
    </row>
    <row r="85" spans="1:10" x14ac:dyDescent="0.3">
      <c r="A85" t="s">
        <v>210</v>
      </c>
      <c r="B85">
        <v>4</v>
      </c>
      <c r="C85" s="6">
        <v>45877.511064814818</v>
      </c>
      <c r="D85" s="6">
        <v>45877.512777777774</v>
      </c>
      <c r="E85">
        <v>211</v>
      </c>
      <c r="F85" s="5">
        <v>98.3</v>
      </c>
      <c r="G85" s="5" t="s">
        <v>233</v>
      </c>
    </row>
    <row r="86" spans="1:10" x14ac:dyDescent="0.3">
      <c r="A86" t="s">
        <v>210</v>
      </c>
      <c r="B86">
        <v>5</v>
      </c>
      <c r="C86" s="6">
        <v>45877.511516203704</v>
      </c>
      <c r="D86" s="6">
        <v>45877.511701388888</v>
      </c>
      <c r="E86">
        <v>158</v>
      </c>
      <c r="F86" s="5">
        <v>37.61</v>
      </c>
      <c r="G86" s="5" t="s">
        <v>234</v>
      </c>
    </row>
    <row r="87" spans="1:10" x14ac:dyDescent="0.3">
      <c r="A87" t="s">
        <v>211</v>
      </c>
      <c r="B87">
        <v>1</v>
      </c>
      <c r="C87" s="6">
        <v>45877.556250000001</v>
      </c>
      <c r="D87" s="6">
        <v>45877.559490740743</v>
      </c>
      <c r="E87">
        <v>94</v>
      </c>
      <c r="F87" s="5">
        <v>7.81</v>
      </c>
      <c r="G87" s="5" t="s">
        <v>235</v>
      </c>
    </row>
    <row r="88" spans="1:10" x14ac:dyDescent="0.3">
      <c r="A88" t="s">
        <v>211</v>
      </c>
      <c r="B88">
        <v>2</v>
      </c>
      <c r="C88" s="6">
        <v>45877.557337962964</v>
      </c>
      <c r="D88" s="6">
        <v>45877.559837962966</v>
      </c>
      <c r="E88">
        <v>89</v>
      </c>
      <c r="F88" s="5">
        <v>6.74</v>
      </c>
      <c r="G88" s="5" t="s">
        <v>236</v>
      </c>
    </row>
    <row r="89" spans="1:10" x14ac:dyDescent="0.3">
      <c r="A89" t="s">
        <v>211</v>
      </c>
      <c r="B89">
        <v>3</v>
      </c>
      <c r="C89" s="6">
        <v>45877.557488425926</v>
      </c>
      <c r="D89" s="6">
        <v>45877.559340277781</v>
      </c>
      <c r="E89">
        <v>96</v>
      </c>
      <c r="F89" s="5">
        <v>8.3800000000000008</v>
      </c>
      <c r="G89" s="5" t="s">
        <v>237</v>
      </c>
    </row>
    <row r="90" spans="1:10" x14ac:dyDescent="0.3">
      <c r="A90" t="s">
        <v>211</v>
      </c>
      <c r="B90">
        <v>4</v>
      </c>
      <c r="C90" s="6">
        <v>45877.557592592595</v>
      </c>
      <c r="D90" s="6">
        <v>45877.559699074074</v>
      </c>
      <c r="E90">
        <v>192</v>
      </c>
      <c r="F90" s="5">
        <v>63.44</v>
      </c>
      <c r="G90" s="5" t="s">
        <v>238</v>
      </c>
    </row>
    <row r="91" spans="1:10" x14ac:dyDescent="0.3">
      <c r="A91" t="s">
        <v>211</v>
      </c>
      <c r="B91">
        <v>5</v>
      </c>
      <c r="C91" s="6">
        <v>45877.557696759257</v>
      </c>
      <c r="D91" s="6">
        <v>45877.559317129628</v>
      </c>
      <c r="E91">
        <v>204</v>
      </c>
      <c r="F91" s="5">
        <v>88.86</v>
      </c>
      <c r="G91" s="5" t="s">
        <v>239</v>
      </c>
    </row>
    <row r="92" spans="1:10" x14ac:dyDescent="0.3">
      <c r="A92" t="s">
        <v>240</v>
      </c>
      <c r="B92">
        <v>1</v>
      </c>
      <c r="C92" s="6">
        <v>45880.455127314817</v>
      </c>
      <c r="D92" s="6">
        <v>45880.458252314813</v>
      </c>
      <c r="E92">
        <v>139</v>
      </c>
      <c r="F92" s="5">
        <v>25.16</v>
      </c>
      <c r="G92" s="5" t="s">
        <v>254</v>
      </c>
    </row>
    <row r="93" spans="1:10" x14ac:dyDescent="0.3">
      <c r="A93" t="s">
        <v>240</v>
      </c>
      <c r="B93">
        <v>2</v>
      </c>
      <c r="C93" s="6">
        <v>45880.455347222225</v>
      </c>
      <c r="D93" s="6">
        <v>45880.456412037034</v>
      </c>
      <c r="E93">
        <v>81</v>
      </c>
      <c r="F93" s="5">
        <v>4.49</v>
      </c>
      <c r="G93" s="5" t="s">
        <v>255</v>
      </c>
    </row>
    <row r="94" spans="1:10" x14ac:dyDescent="0.3">
      <c r="A94" t="s">
        <v>240</v>
      </c>
      <c r="B94">
        <v>3</v>
      </c>
      <c r="C94" s="6">
        <v>45880.456354166665</v>
      </c>
      <c r="D94" s="6">
        <v>45880.457928240743</v>
      </c>
      <c r="E94">
        <v>169</v>
      </c>
      <c r="F94" s="5">
        <v>45.13</v>
      </c>
      <c r="G94" s="5" t="s">
        <v>256</v>
      </c>
    </row>
    <row r="95" spans="1:10" x14ac:dyDescent="0.3">
      <c r="A95" t="s">
        <v>240</v>
      </c>
      <c r="B95">
        <v>4</v>
      </c>
      <c r="C95" s="6">
        <v>45880.456655092596</v>
      </c>
      <c r="D95" s="6">
        <v>45880.462222222224</v>
      </c>
      <c r="E95">
        <v>185</v>
      </c>
      <c r="F95" s="5">
        <v>61.69</v>
      </c>
      <c r="G95" s="5" t="s">
        <v>257</v>
      </c>
      <c r="J95" t="s">
        <v>258</v>
      </c>
    </row>
    <row r="96" spans="1:10" x14ac:dyDescent="0.3">
      <c r="A96" t="s">
        <v>240</v>
      </c>
      <c r="B96">
        <v>5</v>
      </c>
      <c r="C96" s="6">
        <v>45880.457152777781</v>
      </c>
      <c r="D96" s="6">
        <v>45880.457708333335</v>
      </c>
      <c r="E96">
        <v>108</v>
      </c>
      <c r="F96" s="5">
        <v>10.95</v>
      </c>
      <c r="G96" s="5" t="s">
        <v>259</v>
      </c>
    </row>
    <row r="97" spans="1:10" x14ac:dyDescent="0.3">
      <c r="A97" t="s">
        <v>241</v>
      </c>
      <c r="B97">
        <v>1</v>
      </c>
      <c r="C97" s="6">
        <v>45880.50267361111</v>
      </c>
      <c r="D97" s="6">
        <v>45880.503750000003</v>
      </c>
      <c r="E97">
        <v>183</v>
      </c>
      <c r="F97" s="5">
        <v>50.29</v>
      </c>
      <c r="G97" s="5" t="s">
        <v>260</v>
      </c>
    </row>
    <row r="98" spans="1:10" x14ac:dyDescent="0.3">
      <c r="A98" t="s">
        <v>241</v>
      </c>
      <c r="B98">
        <v>2</v>
      </c>
      <c r="C98" s="6">
        <v>45880.502974537034</v>
      </c>
      <c r="D98" s="6">
        <v>45880.505196759259</v>
      </c>
      <c r="E98">
        <v>168</v>
      </c>
      <c r="F98" s="5">
        <v>41.78</v>
      </c>
      <c r="G98" s="5" t="s">
        <v>261</v>
      </c>
    </row>
    <row r="99" spans="1:10" x14ac:dyDescent="0.3">
      <c r="A99" t="s">
        <v>241</v>
      </c>
      <c r="B99">
        <v>3</v>
      </c>
      <c r="C99" s="6">
        <v>45880.503159722219</v>
      </c>
      <c r="D99" s="6">
        <v>45880.504826388889</v>
      </c>
      <c r="E99">
        <v>121</v>
      </c>
      <c r="F99" s="5">
        <v>12.52</v>
      </c>
      <c r="G99" s="5" t="s">
        <v>262</v>
      </c>
      <c r="J99" t="s">
        <v>263</v>
      </c>
    </row>
    <row r="100" spans="1:10" x14ac:dyDescent="0.3">
      <c r="A100" t="s">
        <v>241</v>
      </c>
      <c r="B100">
        <v>4</v>
      </c>
      <c r="C100" s="6">
        <v>45880.503842592596</v>
      </c>
      <c r="D100" s="6">
        <v>45880.504317129627</v>
      </c>
      <c r="E100">
        <v>74</v>
      </c>
      <c r="F100" s="5">
        <v>3.38</v>
      </c>
      <c r="G100" s="5" t="s">
        <v>264</v>
      </c>
    </row>
    <row r="101" spans="1:10" x14ac:dyDescent="0.3">
      <c r="A101" t="s">
        <v>241</v>
      </c>
      <c r="B101">
        <v>5</v>
      </c>
      <c r="C101" s="6">
        <v>45880.504293981481</v>
      </c>
      <c r="D101" s="6">
        <v>45880.504583333335</v>
      </c>
      <c r="E101">
        <v>75</v>
      </c>
      <c r="F101" s="5">
        <v>3.76</v>
      </c>
      <c r="G101" s="5" t="s">
        <v>265</v>
      </c>
    </row>
    <row r="102" spans="1:10" x14ac:dyDescent="0.3">
      <c r="A102" t="s">
        <v>242</v>
      </c>
      <c r="B102">
        <v>1</v>
      </c>
      <c r="C102" s="6">
        <v>45880.545520833337</v>
      </c>
      <c r="D102" s="6">
        <v>45880.545983796299</v>
      </c>
      <c r="E102">
        <v>79</v>
      </c>
      <c r="F102" s="5">
        <v>4.3899999999999997</v>
      </c>
      <c r="G102" s="5" t="s">
        <v>266</v>
      </c>
    </row>
    <row r="103" spans="1:10" x14ac:dyDescent="0.3">
      <c r="A103" t="s">
        <v>242</v>
      </c>
      <c r="B103">
        <v>2</v>
      </c>
      <c r="C103" s="6">
        <v>45880.545925925922</v>
      </c>
      <c r="D103" s="6">
        <v>45880.546585648146</v>
      </c>
      <c r="E103">
        <v>129</v>
      </c>
      <c r="F103" s="5">
        <v>19.63</v>
      </c>
      <c r="G103" s="5" t="s">
        <v>267</v>
      </c>
    </row>
    <row r="104" spans="1:10" x14ac:dyDescent="0.3">
      <c r="A104" t="s">
        <v>242</v>
      </c>
      <c r="B104">
        <v>3</v>
      </c>
      <c r="C104" s="6">
        <v>45880.547256944446</v>
      </c>
      <c r="D104" s="6">
        <v>45880.549120370371</v>
      </c>
      <c r="E104">
        <v>155</v>
      </c>
      <c r="F104" s="5">
        <v>32</v>
      </c>
      <c r="G104" s="5" t="s">
        <v>268</v>
      </c>
    </row>
    <row r="105" spans="1:10" x14ac:dyDescent="0.3">
      <c r="A105" t="s">
        <v>242</v>
      </c>
      <c r="B105">
        <v>4</v>
      </c>
      <c r="C105" s="6">
        <v>45880.547650462962</v>
      </c>
      <c r="D105" s="6">
        <v>45880.548668981479</v>
      </c>
      <c r="E105">
        <v>112</v>
      </c>
      <c r="F105" s="5">
        <v>14.04</v>
      </c>
      <c r="G105" s="5" t="s">
        <v>269</v>
      </c>
    </row>
    <row r="106" spans="1:10" x14ac:dyDescent="0.3">
      <c r="A106" t="s">
        <v>242</v>
      </c>
      <c r="B106">
        <v>5</v>
      </c>
      <c r="C106" s="6">
        <v>45880.547893518517</v>
      </c>
      <c r="D106" s="6">
        <v>45880.549583333333</v>
      </c>
      <c r="E106">
        <v>165</v>
      </c>
      <c r="F106" s="5">
        <v>38.97</v>
      </c>
      <c r="G106" s="5" t="s">
        <v>270</v>
      </c>
    </row>
    <row r="107" spans="1:10" x14ac:dyDescent="0.3">
      <c r="A107" t="s">
        <v>271</v>
      </c>
      <c r="B107">
        <v>1</v>
      </c>
      <c r="C107" s="6">
        <v>45898.53365740741</v>
      </c>
      <c r="D107" s="6">
        <v>45898.535636574074</v>
      </c>
      <c r="E107">
        <v>217</v>
      </c>
      <c r="F107" s="5">
        <v>92.75</v>
      </c>
      <c r="G107" s="5" t="s">
        <v>285</v>
      </c>
    </row>
    <row r="108" spans="1:10" x14ac:dyDescent="0.3">
      <c r="A108" t="s">
        <v>271</v>
      </c>
      <c r="B108">
        <v>2</v>
      </c>
      <c r="C108" s="6">
        <v>45898.535902777781</v>
      </c>
      <c r="D108" s="6">
        <v>45898.536620370367</v>
      </c>
      <c r="E108">
        <v>176</v>
      </c>
      <c r="F108" s="5">
        <v>50.08</v>
      </c>
      <c r="G108" s="5" t="s">
        <v>286</v>
      </c>
    </row>
    <row r="109" spans="1:10" x14ac:dyDescent="0.3">
      <c r="A109" t="s">
        <v>271</v>
      </c>
      <c r="B109">
        <v>3</v>
      </c>
      <c r="C109" s="6">
        <v>45898.539201388892</v>
      </c>
      <c r="D109" s="6">
        <v>45898.539618055554</v>
      </c>
      <c r="E109">
        <v>82</v>
      </c>
      <c r="F109" s="5">
        <v>5</v>
      </c>
      <c r="G109" s="5" t="s">
        <v>287</v>
      </c>
      <c r="J109" t="s">
        <v>288</v>
      </c>
    </row>
    <row r="110" spans="1:10" x14ac:dyDescent="0.3">
      <c r="A110" t="s">
        <v>271</v>
      </c>
      <c r="B110">
        <v>4</v>
      </c>
      <c r="C110" s="6">
        <v>45898.540081018517</v>
      </c>
      <c r="D110" s="6">
        <v>45898.542314814818</v>
      </c>
      <c r="E110">
        <v>73</v>
      </c>
      <c r="F110" s="5">
        <v>3.28</v>
      </c>
      <c r="G110" s="5" t="s">
        <v>289</v>
      </c>
    </row>
    <row r="111" spans="1:10" x14ac:dyDescent="0.3">
      <c r="A111" t="s">
        <v>271</v>
      </c>
      <c r="B111">
        <v>5</v>
      </c>
      <c r="C111" s="6">
        <v>45898.540902777779</v>
      </c>
      <c r="D111" s="6">
        <v>45898.54414351852</v>
      </c>
      <c r="E111">
        <v>181</v>
      </c>
      <c r="F111" s="5">
        <v>59.25</v>
      </c>
      <c r="G111" s="5" t="s">
        <v>290</v>
      </c>
    </row>
    <row r="112" spans="1:10" x14ac:dyDescent="0.3">
      <c r="A112" t="s">
        <v>272</v>
      </c>
      <c r="B112">
        <v>1</v>
      </c>
      <c r="C112" s="6">
        <v>45898.593518518515</v>
      </c>
      <c r="D112" s="6">
        <v>45898.594270833331</v>
      </c>
      <c r="E112">
        <v>163</v>
      </c>
      <c r="F112" s="5">
        <v>42.68</v>
      </c>
      <c r="G112" s="5" t="s">
        <v>291</v>
      </c>
    </row>
    <row r="113" spans="1:10" x14ac:dyDescent="0.3">
      <c r="A113" t="s">
        <v>272</v>
      </c>
      <c r="B113">
        <v>2</v>
      </c>
      <c r="C113" s="6">
        <v>45898.593587962961</v>
      </c>
      <c r="D113" s="6">
        <v>45898.594837962963</v>
      </c>
      <c r="E113">
        <v>83</v>
      </c>
      <c r="F113" s="5">
        <v>4.4800000000000004</v>
      </c>
      <c r="G113" s="5" t="s">
        <v>292</v>
      </c>
    </row>
    <row r="114" spans="1:10" x14ac:dyDescent="0.3">
      <c r="A114" t="s">
        <v>272</v>
      </c>
      <c r="B114">
        <v>3</v>
      </c>
      <c r="C114" s="6">
        <v>45898.5937037037</v>
      </c>
      <c r="D114" s="6">
        <v>45898.59574074074</v>
      </c>
      <c r="E114">
        <v>85</v>
      </c>
      <c r="F114" s="5">
        <v>5.54</v>
      </c>
      <c r="G114" s="5" t="s">
        <v>293</v>
      </c>
    </row>
    <row r="115" spans="1:10" x14ac:dyDescent="0.3">
      <c r="A115" t="s">
        <v>272</v>
      </c>
      <c r="B115">
        <v>4</v>
      </c>
      <c r="C115" s="6">
        <v>45898.593773148146</v>
      </c>
      <c r="D115" s="6">
        <v>45898.594780092593</v>
      </c>
      <c r="E115">
        <v>187</v>
      </c>
      <c r="F115" s="5">
        <v>65.33</v>
      </c>
      <c r="G115" s="5" t="s">
        <v>294</v>
      </c>
    </row>
    <row r="116" spans="1:10" x14ac:dyDescent="0.3">
      <c r="A116" t="s">
        <v>272</v>
      </c>
      <c r="B116">
        <v>5</v>
      </c>
      <c r="C116" s="6">
        <v>45898.593842592592</v>
      </c>
      <c r="D116" s="6">
        <v>45898.599988425929</v>
      </c>
      <c r="E116">
        <v>166</v>
      </c>
      <c r="F116" s="5">
        <v>51.59</v>
      </c>
      <c r="G116" s="5" t="s">
        <v>295</v>
      </c>
    </row>
    <row r="117" spans="1:10" x14ac:dyDescent="0.3">
      <c r="A117" t="s">
        <v>273</v>
      </c>
      <c r="B117">
        <v>1</v>
      </c>
      <c r="C117" s="6">
        <v>45898.645069444443</v>
      </c>
      <c r="D117" s="6">
        <v>45898.645474537036</v>
      </c>
      <c r="E117">
        <v>81</v>
      </c>
      <c r="F117" s="5">
        <v>5.45</v>
      </c>
      <c r="G117" s="5" t="s">
        <v>296</v>
      </c>
      <c r="J117" t="s">
        <v>288</v>
      </c>
    </row>
    <row r="118" spans="1:10" x14ac:dyDescent="0.3">
      <c r="A118" t="s">
        <v>273</v>
      </c>
      <c r="B118">
        <v>2</v>
      </c>
      <c r="C118" s="6">
        <v>45898.645798611113</v>
      </c>
      <c r="D118" s="6">
        <v>45898.648148148146</v>
      </c>
      <c r="E118">
        <v>185</v>
      </c>
      <c r="F118" s="5">
        <v>54.09</v>
      </c>
      <c r="G118" s="5" t="s">
        <v>297</v>
      </c>
    </row>
    <row r="119" spans="1:10" x14ac:dyDescent="0.3">
      <c r="A119" t="s">
        <v>273</v>
      </c>
      <c r="B119">
        <v>3</v>
      </c>
      <c r="C119" s="6">
        <v>45898.646053240744</v>
      </c>
      <c r="D119" s="6">
        <v>45898.646666666667</v>
      </c>
      <c r="E119">
        <v>141</v>
      </c>
      <c r="F119" s="5">
        <v>24.06</v>
      </c>
      <c r="G119" s="5" t="s">
        <v>298</v>
      </c>
    </row>
    <row r="120" spans="1:10" x14ac:dyDescent="0.3">
      <c r="A120" t="s">
        <v>273</v>
      </c>
      <c r="B120">
        <v>4</v>
      </c>
      <c r="C120" s="6">
        <v>45898.646550925929</v>
      </c>
      <c r="D120" s="6">
        <v>45898.646747685183</v>
      </c>
      <c r="E120">
        <v>81</v>
      </c>
      <c r="F120" s="5">
        <v>5.05</v>
      </c>
      <c r="G120" s="5" t="s">
        <v>299</v>
      </c>
      <c r="J120" t="s">
        <v>288</v>
      </c>
    </row>
    <row r="121" spans="1:10" x14ac:dyDescent="0.3">
      <c r="A121" t="s">
        <v>273</v>
      </c>
      <c r="B121">
        <v>5</v>
      </c>
      <c r="C121" s="6">
        <v>45898.647858796299</v>
      </c>
      <c r="D121" s="6">
        <v>45898.652060185188</v>
      </c>
      <c r="E121">
        <v>173</v>
      </c>
      <c r="F121" s="5">
        <v>49.35</v>
      </c>
      <c r="G121" s="5" t="s">
        <v>300</v>
      </c>
      <c r="J121" t="s">
        <v>301</v>
      </c>
    </row>
    <row r="122" spans="1:10" x14ac:dyDescent="0.3">
      <c r="A122" t="s">
        <v>302</v>
      </c>
      <c r="B122">
        <v>1</v>
      </c>
      <c r="C122" s="6">
        <v>45927.509525462963</v>
      </c>
      <c r="D122" s="6">
        <v>45927.51153935185</v>
      </c>
      <c r="E122">
        <v>244</v>
      </c>
      <c r="F122" s="5">
        <v>149</v>
      </c>
      <c r="G122" s="5" t="s">
        <v>317</v>
      </c>
    </row>
    <row r="123" spans="1:10" x14ac:dyDescent="0.3">
      <c r="A123" t="s">
        <v>302</v>
      </c>
      <c r="B123">
        <v>2</v>
      </c>
      <c r="C123" s="6">
        <v>45927.509675925925</v>
      </c>
      <c r="D123" s="6">
        <v>45927.51085648148</v>
      </c>
      <c r="E123">
        <v>169</v>
      </c>
      <c r="F123" s="5">
        <v>45.26</v>
      </c>
      <c r="G123" s="5" t="s">
        <v>318</v>
      </c>
    </row>
    <row r="124" spans="1:10" x14ac:dyDescent="0.3">
      <c r="A124" t="s">
        <v>302</v>
      </c>
      <c r="B124">
        <v>3</v>
      </c>
      <c r="C124" s="6">
        <v>45927.509745370371</v>
      </c>
      <c r="D124" s="6" t="s">
        <v>39</v>
      </c>
      <c r="E124" t="s">
        <v>39</v>
      </c>
      <c r="F124" s="5" t="s">
        <v>39</v>
      </c>
      <c r="G124" s="5" t="s">
        <v>39</v>
      </c>
      <c r="H124" s="3">
        <v>1</v>
      </c>
      <c r="J124" t="s">
        <v>28</v>
      </c>
    </row>
    <row r="125" spans="1:10" x14ac:dyDescent="0.3">
      <c r="A125" t="s">
        <v>302</v>
      </c>
      <c r="B125">
        <v>4</v>
      </c>
      <c r="C125" s="6">
        <v>45927.509918981479</v>
      </c>
      <c r="D125" s="6">
        <v>45927.51021990741</v>
      </c>
      <c r="E125">
        <v>174</v>
      </c>
      <c r="F125" s="5">
        <v>45.41</v>
      </c>
      <c r="G125" s="5" t="s">
        <v>319</v>
      </c>
    </row>
    <row r="126" spans="1:10" x14ac:dyDescent="0.3">
      <c r="A126" t="s">
        <v>302</v>
      </c>
      <c r="B126">
        <v>5</v>
      </c>
      <c r="C126" s="6">
        <v>45927.510162037041</v>
      </c>
      <c r="D126" s="6">
        <v>45927.511261574073</v>
      </c>
      <c r="E126">
        <v>87</v>
      </c>
      <c r="F126" s="5">
        <v>5.47</v>
      </c>
      <c r="G126" s="5" t="s">
        <v>320</v>
      </c>
      <c r="J126" t="s">
        <v>288</v>
      </c>
    </row>
    <row r="127" spans="1:10" x14ac:dyDescent="0.3">
      <c r="A127" t="s">
        <v>303</v>
      </c>
      <c r="B127">
        <v>1</v>
      </c>
      <c r="C127" s="6">
        <v>45927.560914351852</v>
      </c>
      <c r="D127" s="6">
        <v>45927.561585648145</v>
      </c>
      <c r="E127">
        <v>95</v>
      </c>
      <c r="F127" s="5">
        <v>7.5</v>
      </c>
      <c r="G127" s="5" t="s">
        <v>321</v>
      </c>
    </row>
    <row r="128" spans="1:10" x14ac:dyDescent="0.3">
      <c r="A128" t="s">
        <v>303</v>
      </c>
      <c r="B128">
        <v>2</v>
      </c>
      <c r="C128" s="6">
        <v>45927.560972222222</v>
      </c>
      <c r="D128" s="6">
        <v>45927.5625462963</v>
      </c>
      <c r="E128">
        <v>169</v>
      </c>
      <c r="F128" s="5">
        <v>41.47</v>
      </c>
      <c r="G128" s="5" t="s">
        <v>322</v>
      </c>
    </row>
    <row r="129" spans="1:10" x14ac:dyDescent="0.3">
      <c r="A129" t="s">
        <v>303</v>
      </c>
      <c r="B129">
        <v>3</v>
      </c>
      <c r="C129" s="6">
        <v>45927.561296296299</v>
      </c>
      <c r="D129" s="6">
        <v>45927.561747685184</v>
      </c>
      <c r="E129">
        <v>83</v>
      </c>
      <c r="F129" s="5">
        <v>5.29</v>
      </c>
      <c r="G129" s="5" t="s">
        <v>323</v>
      </c>
    </row>
    <row r="130" spans="1:10" x14ac:dyDescent="0.3">
      <c r="A130" t="s">
        <v>303</v>
      </c>
      <c r="B130">
        <v>4</v>
      </c>
      <c r="C130" s="6">
        <v>45927.562835648147</v>
      </c>
      <c r="D130" s="6">
        <v>45927.567615740743</v>
      </c>
      <c r="E130">
        <v>194</v>
      </c>
      <c r="F130" s="5">
        <v>73.69</v>
      </c>
      <c r="G130" s="5" t="s">
        <v>324</v>
      </c>
    </row>
    <row r="131" spans="1:10" x14ac:dyDescent="0.3">
      <c r="A131" t="s">
        <v>303</v>
      </c>
      <c r="B131">
        <v>5</v>
      </c>
      <c r="C131" s="6">
        <v>45927.563020833331</v>
      </c>
      <c r="D131" s="6">
        <v>45927.564155092594</v>
      </c>
      <c r="E131">
        <v>206</v>
      </c>
      <c r="F131" s="5">
        <v>81.510000000000005</v>
      </c>
      <c r="G131" s="5" t="s">
        <v>325</v>
      </c>
    </row>
    <row r="132" spans="1:10" x14ac:dyDescent="0.3">
      <c r="A132" t="s">
        <v>304</v>
      </c>
      <c r="B132">
        <v>1</v>
      </c>
      <c r="C132" s="6">
        <v>45927.609131944446</v>
      </c>
      <c r="D132" s="6">
        <v>45927.610844907409</v>
      </c>
      <c r="E132">
        <v>108</v>
      </c>
      <c r="F132" s="5">
        <v>11.37</v>
      </c>
      <c r="G132" s="5" t="s">
        <v>326</v>
      </c>
      <c r="J132" t="s">
        <v>288</v>
      </c>
    </row>
    <row r="133" spans="1:10" x14ac:dyDescent="0.3">
      <c r="A133" t="s">
        <v>304</v>
      </c>
      <c r="B133">
        <v>2</v>
      </c>
      <c r="C133" s="6">
        <v>45927.609629629631</v>
      </c>
      <c r="D133" s="6">
        <v>45927.610856481479</v>
      </c>
      <c r="E133">
        <v>101</v>
      </c>
      <c r="F133" s="5">
        <v>9.86</v>
      </c>
      <c r="G133" s="5" t="s">
        <v>327</v>
      </c>
    </row>
    <row r="134" spans="1:10" x14ac:dyDescent="0.3">
      <c r="A134" t="s">
        <v>304</v>
      </c>
      <c r="B134">
        <v>3</v>
      </c>
      <c r="C134" s="6">
        <v>45927.609837962962</v>
      </c>
      <c r="D134" s="6">
        <v>45927.612060185187</v>
      </c>
      <c r="E134">
        <v>214</v>
      </c>
      <c r="F134" s="5">
        <v>97.5</v>
      </c>
      <c r="G134" s="5" t="s">
        <v>329</v>
      </c>
    </row>
    <row r="135" spans="1:10" x14ac:dyDescent="0.3">
      <c r="A135" t="s">
        <v>304</v>
      </c>
      <c r="B135">
        <v>4</v>
      </c>
      <c r="C135" s="6">
        <v>45927.610590277778</v>
      </c>
      <c r="D135" s="6">
        <v>45927.612118055556</v>
      </c>
      <c r="E135">
        <v>159</v>
      </c>
      <c r="F135" s="5">
        <v>42.86</v>
      </c>
      <c r="G135" s="5" t="s">
        <v>330</v>
      </c>
    </row>
    <row r="136" spans="1:10" x14ac:dyDescent="0.3">
      <c r="A136" t="s">
        <v>304</v>
      </c>
      <c r="B136">
        <v>5</v>
      </c>
      <c r="C136" s="6">
        <v>45927.610659722224</v>
      </c>
      <c r="D136" s="6">
        <v>45927.611597222225</v>
      </c>
      <c r="E136">
        <v>104</v>
      </c>
      <c r="F136" s="5">
        <v>9.3800000000000008</v>
      </c>
      <c r="G136" s="5" t="s">
        <v>331</v>
      </c>
    </row>
    <row r="137" spans="1:10" x14ac:dyDescent="0.3">
      <c r="A137" t="s">
        <v>333</v>
      </c>
      <c r="B137">
        <v>1</v>
      </c>
      <c r="C137" s="6">
        <v>45928.507569444446</v>
      </c>
      <c r="D137" s="6">
        <v>45928.513298611113</v>
      </c>
      <c r="E137">
        <v>83</v>
      </c>
      <c r="F137" s="5">
        <v>5.21</v>
      </c>
      <c r="G137" s="5" t="s">
        <v>348</v>
      </c>
    </row>
    <row r="138" spans="1:10" x14ac:dyDescent="0.3">
      <c r="A138" t="s">
        <v>333</v>
      </c>
      <c r="B138">
        <v>2</v>
      </c>
      <c r="C138" s="6">
        <v>45928.507673611108</v>
      </c>
      <c r="D138" s="6">
        <v>45928.509502314817</v>
      </c>
      <c r="E138">
        <v>94</v>
      </c>
      <c r="F138" s="5">
        <v>7.59</v>
      </c>
      <c r="G138" s="5" t="s">
        <v>350</v>
      </c>
    </row>
    <row r="139" spans="1:10" x14ac:dyDescent="0.3">
      <c r="A139" t="s">
        <v>333</v>
      </c>
      <c r="B139">
        <v>3</v>
      </c>
      <c r="C139" s="6">
        <v>45928.507800925923</v>
      </c>
      <c r="D139" s="6">
        <v>45928.509699074071</v>
      </c>
      <c r="E139">
        <v>92</v>
      </c>
      <c r="F139" s="5">
        <v>6.6</v>
      </c>
      <c r="G139" s="5" t="s">
        <v>351</v>
      </c>
      <c r="J139" t="s">
        <v>352</v>
      </c>
    </row>
    <row r="140" spans="1:10" x14ac:dyDescent="0.3">
      <c r="A140" t="s">
        <v>333</v>
      </c>
      <c r="B140">
        <v>4</v>
      </c>
      <c r="C140" s="6">
        <v>45928.508009259262</v>
      </c>
      <c r="D140" s="6">
        <v>45928.509236111109</v>
      </c>
      <c r="E140">
        <v>71</v>
      </c>
      <c r="F140" s="5">
        <v>3.25</v>
      </c>
      <c r="G140" s="5" t="s">
        <v>353</v>
      </c>
      <c r="J140" t="s">
        <v>352</v>
      </c>
    </row>
    <row r="141" spans="1:10" x14ac:dyDescent="0.3">
      <c r="A141" t="s">
        <v>333</v>
      </c>
      <c r="B141">
        <v>5</v>
      </c>
      <c r="C141" s="6">
        <v>45928.508217592593</v>
      </c>
      <c r="D141" s="6">
        <v>45928.512986111113</v>
      </c>
      <c r="E141">
        <v>81</v>
      </c>
      <c r="F141" s="5">
        <v>4.3899999999999997</v>
      </c>
      <c r="G141" s="5" t="s">
        <v>355</v>
      </c>
      <c r="J141" t="s">
        <v>356</v>
      </c>
    </row>
    <row r="142" spans="1:10" x14ac:dyDescent="0.3">
      <c r="A142" t="s">
        <v>334</v>
      </c>
      <c r="B142">
        <v>1</v>
      </c>
      <c r="C142" s="6">
        <v>45928.559178240743</v>
      </c>
      <c r="D142" s="6">
        <v>45928.559618055559</v>
      </c>
      <c r="E142">
        <v>93</v>
      </c>
      <c r="F142" s="5">
        <v>6.29</v>
      </c>
      <c r="G142" s="5" t="s">
        <v>357</v>
      </c>
    </row>
    <row r="143" spans="1:10" x14ac:dyDescent="0.3">
      <c r="A143" t="s">
        <v>334</v>
      </c>
      <c r="B143">
        <v>2</v>
      </c>
      <c r="C143" s="6">
        <v>45928.559560185182</v>
      </c>
      <c r="D143" s="6">
        <v>45928.561516203707</v>
      </c>
      <c r="E143">
        <v>80</v>
      </c>
      <c r="F143" s="5">
        <v>4.24</v>
      </c>
      <c r="G143" s="5" t="s">
        <v>358</v>
      </c>
      <c r="J143" t="s">
        <v>359</v>
      </c>
    </row>
    <row r="144" spans="1:10" x14ac:dyDescent="0.3">
      <c r="A144" t="s">
        <v>334</v>
      </c>
      <c r="B144">
        <v>3</v>
      </c>
      <c r="C144" s="6">
        <v>45928.559641203705</v>
      </c>
      <c r="D144" s="6">
        <v>45928.561041666668</v>
      </c>
      <c r="E144">
        <v>101</v>
      </c>
      <c r="F144" s="5">
        <v>8.66</v>
      </c>
      <c r="G144" s="5" t="s">
        <v>360</v>
      </c>
      <c r="J144" t="s">
        <v>361</v>
      </c>
    </row>
    <row r="145" spans="1:10" x14ac:dyDescent="0.3">
      <c r="A145" t="s">
        <v>334</v>
      </c>
      <c r="B145">
        <v>4</v>
      </c>
      <c r="C145" s="6">
        <v>45928.560104166667</v>
      </c>
      <c r="D145" s="6">
        <v>45928.561215277776</v>
      </c>
      <c r="E145">
        <v>89</v>
      </c>
      <c r="F145" s="5">
        <v>5.67</v>
      </c>
      <c r="G145" s="5" t="s">
        <v>362</v>
      </c>
    </row>
    <row r="146" spans="1:10" x14ac:dyDescent="0.3">
      <c r="A146" t="s">
        <v>334</v>
      </c>
      <c r="B146">
        <v>5</v>
      </c>
      <c r="C146" s="6">
        <v>45928.560219907406</v>
      </c>
      <c r="D146" s="6">
        <v>45928.560624999998</v>
      </c>
      <c r="E146">
        <v>69</v>
      </c>
      <c r="F146" s="5">
        <v>2.75</v>
      </c>
      <c r="G146" s="5" t="s">
        <v>363</v>
      </c>
      <c r="J146" t="s">
        <v>364</v>
      </c>
    </row>
    <row r="147" spans="1:10" x14ac:dyDescent="0.3">
      <c r="A147" t="s">
        <v>335</v>
      </c>
      <c r="B147">
        <v>1</v>
      </c>
      <c r="C147" s="6">
        <v>45928.601655092592</v>
      </c>
      <c r="D147" s="6">
        <v>45928.602013888885</v>
      </c>
      <c r="E147">
        <v>82</v>
      </c>
      <c r="F147" s="5">
        <v>6.08</v>
      </c>
      <c r="G147" s="5" t="s">
        <v>365</v>
      </c>
    </row>
    <row r="148" spans="1:10" x14ac:dyDescent="0.3">
      <c r="A148" t="s">
        <v>335</v>
      </c>
      <c r="B148">
        <v>2</v>
      </c>
      <c r="C148" s="6">
        <v>45928.6018287037</v>
      </c>
      <c r="D148" s="6">
        <v>45928.603368055556</v>
      </c>
      <c r="E148">
        <v>79</v>
      </c>
      <c r="F148" s="5">
        <v>4.0999999999999996</v>
      </c>
      <c r="G148" s="5" t="s">
        <v>366</v>
      </c>
    </row>
    <row r="149" spans="1:10" x14ac:dyDescent="0.3">
      <c r="A149" t="s">
        <v>335</v>
      </c>
      <c r="B149">
        <v>3</v>
      </c>
      <c r="C149" s="6">
        <v>45928.602083333331</v>
      </c>
      <c r="D149" s="6">
        <v>45928.602824074071</v>
      </c>
      <c r="E149">
        <v>80</v>
      </c>
      <c r="F149" s="5">
        <v>4.45</v>
      </c>
      <c r="G149" s="5" t="s">
        <v>367</v>
      </c>
    </row>
    <row r="150" spans="1:10" x14ac:dyDescent="0.3">
      <c r="A150" t="s">
        <v>335</v>
      </c>
      <c r="B150">
        <v>4</v>
      </c>
      <c r="C150" s="6">
        <v>45928.602766203701</v>
      </c>
      <c r="D150" s="6">
        <v>45928.603275462963</v>
      </c>
      <c r="E150">
        <v>82</v>
      </c>
      <c r="F150" s="5">
        <v>4.0999999999999996</v>
      </c>
      <c r="G150" s="5" t="s">
        <v>368</v>
      </c>
    </row>
    <row r="151" spans="1:10" x14ac:dyDescent="0.3">
      <c r="A151" t="s">
        <v>335</v>
      </c>
      <c r="B151">
        <v>5</v>
      </c>
      <c r="C151" s="6">
        <v>45928.603275462963</v>
      </c>
      <c r="D151" s="6">
        <v>45928.605104166665</v>
      </c>
      <c r="E151">
        <v>91</v>
      </c>
      <c r="F151" s="5">
        <v>5.76</v>
      </c>
      <c r="G151" s="5" t="s">
        <v>369</v>
      </c>
      <c r="J151" t="s">
        <v>288</v>
      </c>
    </row>
    <row r="152" spans="1:10" x14ac:dyDescent="0.3">
      <c r="A152" t="s">
        <v>370</v>
      </c>
      <c r="B152">
        <v>1</v>
      </c>
      <c r="C152" s="6">
        <v>45933.468090277776</v>
      </c>
      <c r="D152" s="6">
        <v>45933.469328703701</v>
      </c>
      <c r="E152">
        <v>165</v>
      </c>
      <c r="F152" s="5">
        <v>36.6</v>
      </c>
      <c r="G152" s="5" t="s">
        <v>381</v>
      </c>
    </row>
    <row r="153" spans="1:10" x14ac:dyDescent="0.3">
      <c r="A153" t="s">
        <v>370</v>
      </c>
      <c r="B153">
        <v>2</v>
      </c>
      <c r="C153" s="6">
        <v>45933.4684837963</v>
      </c>
      <c r="D153" s="6">
        <v>45933.471041666664</v>
      </c>
      <c r="E153">
        <v>181</v>
      </c>
      <c r="F153" s="5">
        <v>51.5</v>
      </c>
      <c r="G153" s="5" t="s">
        <v>383</v>
      </c>
    </row>
    <row r="154" spans="1:10" x14ac:dyDescent="0.3">
      <c r="A154" t="s">
        <v>370</v>
      </c>
      <c r="B154">
        <v>3</v>
      </c>
      <c r="C154" s="6">
        <v>45933.469537037039</v>
      </c>
      <c r="D154" s="6">
        <v>45933.473564814813</v>
      </c>
      <c r="E154">
        <v>146</v>
      </c>
      <c r="F154" s="5">
        <v>24.8</v>
      </c>
      <c r="G154" s="5" t="s">
        <v>386</v>
      </c>
    </row>
    <row r="155" spans="1:10" x14ac:dyDescent="0.3">
      <c r="A155" t="s">
        <v>370</v>
      </c>
      <c r="B155">
        <v>4</v>
      </c>
      <c r="C155" s="6">
        <v>45933.469652777778</v>
      </c>
      <c r="D155" s="6">
        <v>45933.470254629632</v>
      </c>
      <c r="E155">
        <v>158</v>
      </c>
      <c r="F155" s="5">
        <v>31.97</v>
      </c>
      <c r="G155" s="5" t="s">
        <v>387</v>
      </c>
    </row>
    <row r="156" spans="1:10" x14ac:dyDescent="0.3">
      <c r="A156" t="s">
        <v>370</v>
      </c>
      <c r="B156">
        <v>5</v>
      </c>
      <c r="C156" s="6">
        <v>45933.470613425925</v>
      </c>
      <c r="D156" s="6">
        <v>45933.471238425926</v>
      </c>
      <c r="E156">
        <v>166</v>
      </c>
      <c r="F156" s="5">
        <v>41.11</v>
      </c>
      <c r="G156" s="5" t="s">
        <v>388</v>
      </c>
    </row>
    <row r="157" spans="1:10" x14ac:dyDescent="0.3">
      <c r="A157" t="s">
        <v>371</v>
      </c>
      <c r="B157">
        <v>1</v>
      </c>
      <c r="C157" s="6">
        <v>45933.516863425924</v>
      </c>
      <c r="D157" s="6">
        <v>45933.53056712963</v>
      </c>
      <c r="E157">
        <v>174</v>
      </c>
      <c r="F157" s="5">
        <v>40.11</v>
      </c>
      <c r="G157" s="5" t="s">
        <v>391</v>
      </c>
      <c r="I157" s="3">
        <v>1</v>
      </c>
      <c r="J157" t="s">
        <v>392</v>
      </c>
    </row>
    <row r="158" spans="1:10" x14ac:dyDescent="0.3">
      <c r="A158" t="s">
        <v>371</v>
      </c>
      <c r="B158">
        <v>2</v>
      </c>
      <c r="C158" s="6">
        <v>45933.517395833333</v>
      </c>
      <c r="D158" s="6">
        <v>45933.518703703703</v>
      </c>
      <c r="E158">
        <v>81</v>
      </c>
      <c r="F158" s="5">
        <v>3.67</v>
      </c>
      <c r="G158" s="5" t="s">
        <v>393</v>
      </c>
      <c r="I158" s="3">
        <v>1</v>
      </c>
      <c r="J158" t="s">
        <v>394</v>
      </c>
    </row>
    <row r="159" spans="1:10" x14ac:dyDescent="0.3">
      <c r="A159" t="s">
        <v>371</v>
      </c>
      <c r="B159">
        <v>3</v>
      </c>
      <c r="C159" s="6">
        <v>45933.517511574071</v>
      </c>
      <c r="D159" s="6">
        <v>45933.519409722219</v>
      </c>
      <c r="E159">
        <v>115</v>
      </c>
      <c r="F159" s="5">
        <v>11.84</v>
      </c>
      <c r="G159" s="5" t="s">
        <v>396</v>
      </c>
      <c r="J159" t="s">
        <v>288</v>
      </c>
    </row>
    <row r="160" spans="1:10" x14ac:dyDescent="0.3">
      <c r="A160" t="s">
        <v>371</v>
      </c>
      <c r="B160">
        <v>4</v>
      </c>
      <c r="C160" s="6">
        <v>45933.517962962964</v>
      </c>
      <c r="D160" s="6">
        <v>45933.520972222221</v>
      </c>
      <c r="E160">
        <v>73</v>
      </c>
      <c r="F160" s="5">
        <v>3</v>
      </c>
      <c r="G160" s="5" t="s">
        <v>398</v>
      </c>
      <c r="I160" s="3">
        <v>1</v>
      </c>
      <c r="J160" t="s">
        <v>399</v>
      </c>
    </row>
    <row r="161" spans="1:10" x14ac:dyDescent="0.3">
      <c r="A161" t="s">
        <v>371</v>
      </c>
      <c r="B161">
        <v>5</v>
      </c>
      <c r="C161" s="6">
        <v>45933.518125000002</v>
      </c>
      <c r="D161" s="6">
        <v>45933.52002314815</v>
      </c>
      <c r="E161">
        <v>151</v>
      </c>
      <c r="F161" s="5">
        <v>28.88</v>
      </c>
      <c r="G161" s="5" t="s">
        <v>401</v>
      </c>
    </row>
    <row r="162" spans="1:10" x14ac:dyDescent="0.3">
      <c r="A162" t="s">
        <v>403</v>
      </c>
      <c r="B162">
        <v>1</v>
      </c>
      <c r="C162" s="6">
        <v>45934.481180555558</v>
      </c>
      <c r="D162" s="6">
        <v>45934.483460648145</v>
      </c>
      <c r="E162">
        <v>142</v>
      </c>
      <c r="F162" s="5">
        <v>21.84</v>
      </c>
      <c r="G162" s="5" t="s">
        <v>419</v>
      </c>
      <c r="J162" t="s">
        <v>420</v>
      </c>
    </row>
    <row r="163" spans="1:10" x14ac:dyDescent="0.3">
      <c r="A163" t="s">
        <v>403</v>
      </c>
      <c r="B163">
        <v>2</v>
      </c>
      <c r="C163" s="6">
        <v>45934.488009259258</v>
      </c>
      <c r="D163" s="6">
        <v>45934.489120370374</v>
      </c>
      <c r="E163">
        <v>147</v>
      </c>
      <c r="F163" s="5">
        <v>30</v>
      </c>
      <c r="G163" s="5" t="s">
        <v>423</v>
      </c>
    </row>
    <row r="164" spans="1:10" x14ac:dyDescent="0.3">
      <c r="A164" t="s">
        <v>403</v>
      </c>
      <c r="B164">
        <v>3</v>
      </c>
      <c r="C164" s="6">
        <v>45934.488912037035</v>
      </c>
      <c r="D164" s="6">
        <v>45934.489641203705</v>
      </c>
      <c r="E164">
        <v>91</v>
      </c>
      <c r="F164" s="5">
        <v>7.69</v>
      </c>
      <c r="G164" s="5" t="s">
        <v>426</v>
      </c>
    </row>
    <row r="165" spans="1:10" x14ac:dyDescent="0.3">
      <c r="A165" t="s">
        <v>403</v>
      </c>
      <c r="B165">
        <v>4</v>
      </c>
      <c r="C165" s="6">
        <v>45934.488993055558</v>
      </c>
      <c r="D165" s="6">
        <v>45934.490451388891</v>
      </c>
      <c r="E165">
        <v>172</v>
      </c>
      <c r="F165" s="5">
        <v>49.74</v>
      </c>
      <c r="G165" s="5" t="s">
        <v>429</v>
      </c>
    </row>
    <row r="166" spans="1:10" x14ac:dyDescent="0.3">
      <c r="A166" t="s">
        <v>403</v>
      </c>
      <c r="B166">
        <v>5</v>
      </c>
      <c r="C166" s="6">
        <v>45934.489583333336</v>
      </c>
      <c r="D166" s="6">
        <v>45934.490798611114</v>
      </c>
      <c r="E166">
        <v>133</v>
      </c>
      <c r="F166" s="5">
        <v>21.13</v>
      </c>
      <c r="G166" s="5" t="s">
        <v>431</v>
      </c>
    </row>
    <row r="167" spans="1:10" x14ac:dyDescent="0.3">
      <c r="A167" t="s">
        <v>404</v>
      </c>
      <c r="B167">
        <v>1</v>
      </c>
      <c r="C167" s="6">
        <v>45934.531851851854</v>
      </c>
      <c r="D167" s="6">
        <v>45934.533067129632</v>
      </c>
      <c r="E167">
        <v>170</v>
      </c>
      <c r="F167" s="5">
        <v>50.07</v>
      </c>
      <c r="G167" s="5" t="s">
        <v>433</v>
      </c>
    </row>
    <row r="168" spans="1:10" x14ac:dyDescent="0.3">
      <c r="A168" t="s">
        <v>404</v>
      </c>
      <c r="B168">
        <v>2</v>
      </c>
      <c r="C168" s="6">
        <v>45934.532222222224</v>
      </c>
      <c r="D168" s="6">
        <v>45934.534768518519</v>
      </c>
      <c r="E168">
        <v>177</v>
      </c>
      <c r="F168" s="5">
        <v>53.49</v>
      </c>
      <c r="G168" s="5" t="s">
        <v>434</v>
      </c>
    </row>
    <row r="169" spans="1:10" x14ac:dyDescent="0.3">
      <c r="A169" t="s">
        <v>404</v>
      </c>
      <c r="B169">
        <v>3</v>
      </c>
      <c r="C169" s="6">
        <v>45934.532731481479</v>
      </c>
      <c r="D169" s="6">
        <v>45934.53334490741</v>
      </c>
      <c r="E169">
        <v>101</v>
      </c>
      <c r="F169" s="5">
        <v>9.06</v>
      </c>
      <c r="G169" s="5" t="s">
        <v>436</v>
      </c>
    </row>
    <row r="170" spans="1:10" x14ac:dyDescent="0.3">
      <c r="A170" t="s">
        <v>404</v>
      </c>
      <c r="B170">
        <v>4</v>
      </c>
      <c r="C170" s="6">
        <v>45934.533518518518</v>
      </c>
      <c r="D170" s="6">
        <v>45934.535578703704</v>
      </c>
      <c r="E170">
        <v>129</v>
      </c>
      <c r="F170" s="5">
        <v>19.07</v>
      </c>
      <c r="G170" s="5" t="s">
        <v>438</v>
      </c>
    </row>
    <row r="171" spans="1:10" x14ac:dyDescent="0.3">
      <c r="A171" t="s">
        <v>404</v>
      </c>
      <c r="B171">
        <v>5</v>
      </c>
      <c r="C171" s="6">
        <v>45934.534467592595</v>
      </c>
      <c r="D171" s="6">
        <v>45934.536770833336</v>
      </c>
      <c r="E171">
        <v>137</v>
      </c>
      <c r="F171" s="5">
        <v>24</v>
      </c>
      <c r="G171" s="5" t="s">
        <v>441</v>
      </c>
    </row>
    <row r="172" spans="1:10" x14ac:dyDescent="0.3">
      <c r="A172" t="s">
        <v>405</v>
      </c>
      <c r="B172">
        <v>1</v>
      </c>
      <c r="C172" s="6">
        <v>45934.5781712963</v>
      </c>
      <c r="D172" s="6">
        <v>45934.579953703702</v>
      </c>
      <c r="E172">
        <v>177</v>
      </c>
      <c r="F172" s="5">
        <v>48.21</v>
      </c>
      <c r="G172" s="5" t="s">
        <v>444</v>
      </c>
    </row>
    <row r="173" spans="1:10" x14ac:dyDescent="0.3">
      <c r="A173" t="s">
        <v>405</v>
      </c>
      <c r="B173">
        <v>2</v>
      </c>
      <c r="C173" s="6">
        <v>45934.578298611108</v>
      </c>
      <c r="D173" s="6">
        <v>45934.578576388885</v>
      </c>
      <c r="E173">
        <v>129</v>
      </c>
      <c r="F173" s="5">
        <v>18.72</v>
      </c>
      <c r="G173" s="5" t="s">
        <v>446</v>
      </c>
    </row>
    <row r="174" spans="1:10" x14ac:dyDescent="0.3">
      <c r="A174" t="s">
        <v>405</v>
      </c>
      <c r="B174">
        <v>3</v>
      </c>
      <c r="C174" s="6">
        <v>45934.578460648147</v>
      </c>
      <c r="D174" s="6">
        <v>45934.579618055555</v>
      </c>
      <c r="E174">
        <v>147</v>
      </c>
      <c r="F174" s="5">
        <v>28.38</v>
      </c>
      <c r="G174" s="5" t="s">
        <v>451</v>
      </c>
    </row>
    <row r="175" spans="1:10" x14ac:dyDescent="0.3">
      <c r="A175" t="s">
        <v>405</v>
      </c>
      <c r="B175">
        <v>4</v>
      </c>
      <c r="C175" s="6">
        <v>45934.578541666669</v>
      </c>
      <c r="D175" s="6">
        <v>45934.578993055555</v>
      </c>
      <c r="E175">
        <v>161</v>
      </c>
      <c r="F175" s="5">
        <v>13.05</v>
      </c>
      <c r="G175" s="5" t="s">
        <v>447</v>
      </c>
      <c r="J175" t="s">
        <v>448</v>
      </c>
    </row>
    <row r="176" spans="1:10" x14ac:dyDescent="0.3">
      <c r="A176" t="s">
        <v>405</v>
      </c>
      <c r="B176">
        <v>5</v>
      </c>
      <c r="C176" s="6">
        <v>45934.578599537039</v>
      </c>
      <c r="D176" s="6">
        <v>45934.579583333332</v>
      </c>
      <c r="E176">
        <v>94</v>
      </c>
      <c r="F176" s="5">
        <v>7.26</v>
      </c>
      <c r="G176" s="5" t="s">
        <v>452</v>
      </c>
    </row>
    <row r="285" spans="10:10" x14ac:dyDescent="0.3">
      <c r="J285" s="8"/>
    </row>
    <row r="286" spans="10:10" x14ac:dyDescent="0.3">
      <c r="J286" s="8"/>
    </row>
    <row r="287" spans="10:10" x14ac:dyDescent="0.3">
      <c r="J287" s="8"/>
    </row>
    <row r="288" spans="10:10" x14ac:dyDescent="0.3">
      <c r="J288" s="8"/>
    </row>
    <row r="289" spans="10:10" x14ac:dyDescent="0.3">
      <c r="J289" s="8"/>
    </row>
    <row r="290" spans="10:10" x14ac:dyDescent="0.3">
      <c r="J290" s="8"/>
    </row>
    <row r="291" spans="10:10" x14ac:dyDescent="0.3">
      <c r="J291" s="8"/>
    </row>
    <row r="292" spans="10:10" x14ac:dyDescent="0.3">
      <c r="J292" s="8"/>
    </row>
    <row r="293" spans="10:10" x14ac:dyDescent="0.3">
      <c r="J293" s="8"/>
    </row>
    <row r="294" spans="10:10" x14ac:dyDescent="0.3">
      <c r="J294" s="8"/>
    </row>
    <row r="295" spans="10:10" x14ac:dyDescent="0.3">
      <c r="J295" s="8"/>
    </row>
    <row r="296" spans="10:10" x14ac:dyDescent="0.3">
      <c r="J296" s="8"/>
    </row>
    <row r="297" spans="10:10" x14ac:dyDescent="0.3">
      <c r="J297" s="8"/>
    </row>
    <row r="298" spans="10:10" x14ac:dyDescent="0.3">
      <c r="J298" s="8"/>
    </row>
    <row r="299" spans="10:10" x14ac:dyDescent="0.3">
      <c r="J299" s="8"/>
    </row>
    <row r="300" spans="10:10" x14ac:dyDescent="0.3">
      <c r="J300" s="8"/>
    </row>
    <row r="301" spans="10:10" x14ac:dyDescent="0.3">
      <c r="J301" s="8"/>
    </row>
    <row r="302" spans="10:10" x14ac:dyDescent="0.3">
      <c r="J302" s="8"/>
    </row>
    <row r="303" spans="10:10" x14ac:dyDescent="0.3">
      <c r="J303" s="8"/>
    </row>
    <row r="304" spans="10:10" x14ac:dyDescent="0.3">
      <c r="J304" s="8"/>
    </row>
    <row r="305" spans="10:10" x14ac:dyDescent="0.3">
      <c r="J305" s="8"/>
    </row>
    <row r="306" spans="10:10" x14ac:dyDescent="0.3">
      <c r="J306" s="8"/>
    </row>
    <row r="307" spans="10:10" x14ac:dyDescent="0.3">
      <c r="J307" s="8"/>
    </row>
    <row r="308" spans="10:10" x14ac:dyDescent="0.3">
      <c r="J308" s="8"/>
    </row>
    <row r="309" spans="10:10" x14ac:dyDescent="0.3">
      <c r="J309" s="8"/>
    </row>
    <row r="310" spans="10:10" x14ac:dyDescent="0.3">
      <c r="J310" s="8"/>
    </row>
    <row r="311" spans="10:10" x14ac:dyDescent="0.3">
      <c r="J311" s="8"/>
    </row>
    <row r="312" spans="10:10" x14ac:dyDescent="0.3">
      <c r="J312" s="8"/>
    </row>
    <row r="313" spans="10:10" x14ac:dyDescent="0.3">
      <c r="J313" s="8"/>
    </row>
    <row r="314" spans="10:10" x14ac:dyDescent="0.3">
      <c r="J314" s="8"/>
    </row>
    <row r="315" spans="10:10" x14ac:dyDescent="0.3">
      <c r="J315" s="8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DBB2-95B8-4870-B9E3-D25F588CCE9D}">
  <dimension ref="A1:AB56"/>
  <sheetViews>
    <sheetView topLeftCell="G6" zoomScale="102" workbookViewId="0">
      <selection activeCell="T20" sqref="T6:AA20"/>
    </sheetView>
  </sheetViews>
  <sheetFormatPr defaultRowHeight="14.4" x14ac:dyDescent="0.3"/>
  <cols>
    <col min="4" max="9" width="9.109375" style="4"/>
    <col min="13" max="13" width="15" bestFit="1" customWidth="1"/>
    <col min="14" max="15" width="10.6640625" customWidth="1"/>
    <col min="16" max="16" width="1.5546875" customWidth="1"/>
    <col min="17" max="19" width="10.6640625" hidden="1" customWidth="1"/>
    <col min="20" max="20" width="18.33203125" bestFit="1" customWidth="1"/>
    <col min="21" max="21" width="18.5546875" bestFit="1" customWidth="1"/>
    <col min="22" max="22" width="4.44140625" bestFit="1" customWidth="1"/>
    <col min="23" max="23" width="6.109375" bestFit="1" customWidth="1"/>
    <col min="24" max="24" width="6.44140625" bestFit="1" customWidth="1"/>
    <col min="25" max="25" width="8.6640625" bestFit="1" customWidth="1"/>
    <col min="26" max="26" width="6.88671875" bestFit="1" customWidth="1"/>
    <col min="27" max="27" width="32.44140625" bestFit="1" customWidth="1"/>
  </cols>
  <sheetData>
    <row r="1" spans="1:28" x14ac:dyDescent="0.3">
      <c r="D1"/>
      <c r="E1"/>
      <c r="F1"/>
      <c r="G1"/>
      <c r="H1"/>
      <c r="I1"/>
      <c r="T1" s="16" t="s">
        <v>26</v>
      </c>
      <c r="U1" s="16"/>
      <c r="V1" s="16"/>
      <c r="W1" s="16"/>
      <c r="X1" s="3"/>
      <c r="Y1" s="3"/>
      <c r="Z1" s="3"/>
    </row>
    <row r="2" spans="1:28" x14ac:dyDescent="0.3">
      <c r="D2" s="15" t="s">
        <v>6</v>
      </c>
      <c r="E2" s="15"/>
      <c r="F2" s="15"/>
      <c r="G2" s="15" t="s">
        <v>7</v>
      </c>
      <c r="H2" s="15"/>
      <c r="I2" s="15"/>
      <c r="Q2" s="15" t="s">
        <v>25</v>
      </c>
      <c r="R2" s="15"/>
      <c r="S2" s="3"/>
      <c r="T2" s="15" t="s">
        <v>24</v>
      </c>
      <c r="U2" s="15"/>
      <c r="V2" s="3"/>
      <c r="W2" s="3"/>
      <c r="X2" s="3"/>
      <c r="Y2" s="3"/>
      <c r="Z2" s="3"/>
    </row>
    <row r="3" spans="1:28" x14ac:dyDescent="0.3">
      <c r="A3" t="s">
        <v>13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 t="s">
        <v>17</v>
      </c>
      <c r="H3" t="s">
        <v>14</v>
      </c>
      <c r="I3" t="s">
        <v>18</v>
      </c>
      <c r="J3" t="s">
        <v>8</v>
      </c>
      <c r="K3" t="s">
        <v>9</v>
      </c>
      <c r="L3" t="s">
        <v>41</v>
      </c>
      <c r="M3" t="s">
        <v>10</v>
      </c>
      <c r="N3" t="s">
        <v>28</v>
      </c>
      <c r="O3" t="s">
        <v>402</v>
      </c>
      <c r="Q3" t="s">
        <v>6</v>
      </c>
      <c r="R3" t="s">
        <v>7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41</v>
      </c>
      <c r="Y3" s="3" t="s">
        <v>28</v>
      </c>
      <c r="Z3" s="3" t="s">
        <v>402</v>
      </c>
      <c r="AA3" s="3" t="s">
        <v>10</v>
      </c>
    </row>
    <row r="4" spans="1:28" x14ac:dyDescent="0.3">
      <c r="A4" s="4" t="s">
        <v>27</v>
      </c>
      <c r="B4" s="4" t="s">
        <v>27</v>
      </c>
      <c r="C4" s="4" t="s">
        <v>19</v>
      </c>
      <c r="D4" s="4" t="s">
        <v>27</v>
      </c>
      <c r="E4" s="4" t="s">
        <v>27</v>
      </c>
      <c r="F4" s="4" t="s">
        <v>27</v>
      </c>
      <c r="G4" s="4" t="s">
        <v>27</v>
      </c>
      <c r="H4" s="4" t="s">
        <v>12</v>
      </c>
      <c r="I4" s="4" t="s">
        <v>12</v>
      </c>
      <c r="J4" s="4" t="s">
        <v>21</v>
      </c>
      <c r="K4" s="4" t="s">
        <v>22</v>
      </c>
      <c r="L4" s="4" t="s">
        <v>20</v>
      </c>
      <c r="M4" s="4" t="s">
        <v>29</v>
      </c>
      <c r="N4" s="4" t="s">
        <v>31</v>
      </c>
      <c r="O4" s="4"/>
      <c r="P4" s="4"/>
      <c r="Q4" t="str">
        <f>_xlfn.CONCAT(A4,"/",B4,"/",C4," ",D4,":",E4,":",F4)</f>
        <v>01/01/2023 01:01:01</v>
      </c>
      <c r="R4" t="str">
        <f>_xlfn.CONCAT(A4,"/",B4,"/",C4," ",G4,":",H4,":",I4)</f>
        <v>01/01/2023 01:02:02</v>
      </c>
      <c r="T4" s="2">
        <f>DATEVALUE(TEXT(Q4,"YYYY-MM-DD"))+TIMEVALUE(TEXT(Q4,"HH:MM:SS"))</f>
        <v>44927.042372685188</v>
      </c>
      <c r="U4" s="2">
        <f>DATEVALUE(TEXT(R4,"YYYY-MM-DD"))+TIMEVALUE(TEXT(R4,"HH:MM:SS"))</f>
        <v>44927.043078703704</v>
      </c>
      <c r="V4" s="2" t="str">
        <f>J4</f>
        <v>XXX</v>
      </c>
      <c r="W4" s="2" t="str">
        <f>K4</f>
        <v>XX.XX</v>
      </c>
      <c r="X4" s="2" t="str">
        <f>L4</f>
        <v>XXXX</v>
      </c>
      <c r="Y4" s="2" t="str">
        <f>IF(ISBLANK(N4), "", "1")</f>
        <v>1</v>
      </c>
      <c r="Z4" s="2" t="str">
        <f>IF(ISBLANK(P4), "", "1")</f>
        <v/>
      </c>
      <c r="AA4" t="str">
        <f>IF(ISBLANK(M4),"",M4)</f>
        <v>COMMENT HERE</v>
      </c>
      <c r="AB4" s="4" t="s">
        <v>23</v>
      </c>
    </row>
    <row r="5" spans="1:28" s="10" customFormat="1" ht="7.5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T5" s="11"/>
      <c r="U5" s="11"/>
      <c r="V5" s="11"/>
      <c r="W5" s="11"/>
      <c r="X5" s="11"/>
      <c r="Y5" s="11"/>
      <c r="Z5" s="11"/>
      <c r="AB5" s="9"/>
    </row>
    <row r="6" spans="1:28" x14ac:dyDescent="0.3">
      <c r="A6" s="4" t="s">
        <v>328</v>
      </c>
      <c r="B6" s="4" t="s">
        <v>406</v>
      </c>
      <c r="C6" s="4" t="s">
        <v>44</v>
      </c>
      <c r="D6" s="4" t="s">
        <v>349</v>
      </c>
      <c r="E6" s="4" t="s">
        <v>416</v>
      </c>
      <c r="F6" s="4" t="s">
        <v>417</v>
      </c>
      <c r="G6" s="4" t="s">
        <v>349</v>
      </c>
      <c r="H6" s="4" t="s">
        <v>418</v>
      </c>
      <c r="I6" s="4" t="s">
        <v>349</v>
      </c>
      <c r="J6">
        <v>142</v>
      </c>
      <c r="K6" s="5">
        <v>21.84</v>
      </c>
      <c r="L6" s="4" t="s">
        <v>419</v>
      </c>
      <c r="M6" s="5" t="s">
        <v>420</v>
      </c>
      <c r="N6" s="5"/>
      <c r="O6" s="5"/>
      <c r="P6" s="5"/>
      <c r="Q6" t="str">
        <f t="shared" ref="Q6:Q48" si="0">_xlfn.CONCAT(A6,"/",B6,"/",C6," ",D6,":",E6,":",F6)</f>
        <v>10/04/2025 11:32:54</v>
      </c>
      <c r="R6" t="str">
        <f t="shared" ref="R6:R48" si="1">_xlfn.CONCAT(A6,"/",B6,"/",C6," ",G6,":",H6,":",I6)</f>
        <v>10/04/2025 11:36:11</v>
      </c>
      <c r="T6" s="2">
        <f>DATEVALUE(TEXT(Q6,"YYYY-MM-DD"))+TIMEVALUE(TEXT(Q6,"HH:MM:SS"))</f>
        <v>45934.481180555558</v>
      </c>
      <c r="U6" s="2">
        <f>DATEVALUE(TEXT(R6,"YYYY-MM-DD"))+TIMEVALUE(TEXT(R6,"HH:MM:SS"))</f>
        <v>45934.483460648145</v>
      </c>
      <c r="V6">
        <f>J6</f>
        <v>142</v>
      </c>
      <c r="W6" s="7">
        <f>K6</f>
        <v>21.84</v>
      </c>
      <c r="X6" t="str">
        <f>L6</f>
        <v>TT091</v>
      </c>
      <c r="Y6" s="2" t="str">
        <f>IF(ISBLANK(N6), "", "1")</f>
        <v/>
      </c>
      <c r="Z6" s="2" t="str">
        <f>IF(ISBLANK(P6), "", "1")</f>
        <v/>
      </c>
      <c r="AA6" t="str">
        <f>IF(ISBLANK(M6),"",M6)</f>
        <v>LOE occurred early. Pinned between heater and glass</v>
      </c>
    </row>
    <row r="7" spans="1:28" x14ac:dyDescent="0.3">
      <c r="A7" s="4" t="s">
        <v>328</v>
      </c>
      <c r="B7" s="4" t="s">
        <v>406</v>
      </c>
      <c r="C7" s="4" t="s">
        <v>44</v>
      </c>
      <c r="D7" s="4" t="s">
        <v>349</v>
      </c>
      <c r="E7" s="4" t="s">
        <v>421</v>
      </c>
      <c r="F7" s="4" t="s">
        <v>390</v>
      </c>
      <c r="G7" s="4" t="s">
        <v>349</v>
      </c>
      <c r="H7" s="4" t="s">
        <v>390</v>
      </c>
      <c r="I7" s="4" t="s">
        <v>422</v>
      </c>
      <c r="J7">
        <v>147</v>
      </c>
      <c r="K7" s="5">
        <v>30</v>
      </c>
      <c r="L7" s="4" t="s">
        <v>423</v>
      </c>
      <c r="M7" s="5"/>
      <c r="N7" s="5"/>
      <c r="O7" s="5"/>
      <c r="P7" s="5"/>
      <c r="Q7" t="str">
        <f t="shared" si="0"/>
        <v>10/04/2025 11:42:44</v>
      </c>
      <c r="R7" t="str">
        <f t="shared" si="1"/>
        <v>10/04/2025 11:44:20</v>
      </c>
      <c r="T7" s="2">
        <f t="shared" ref="T7:T48" si="2">DATEVALUE(TEXT(Q7,"YYYY-MM-DD"))+TIMEVALUE(TEXT(Q7,"HH:MM:SS"))</f>
        <v>45934.488009259258</v>
      </c>
      <c r="U7" s="2">
        <f t="shared" ref="U7:U48" si="3">DATEVALUE(TEXT(R7,"YYYY-MM-DD"))+TIMEVALUE(TEXT(R7,"HH:MM:SS"))</f>
        <v>45934.489120370374</v>
      </c>
      <c r="V7">
        <f t="shared" ref="V7:V48" si="4">J7</f>
        <v>147</v>
      </c>
      <c r="W7" s="7">
        <f t="shared" ref="W7:W48" si="5">K7</f>
        <v>30</v>
      </c>
      <c r="X7" t="str">
        <f t="shared" ref="X7:X48" si="6">L7</f>
        <v>TT071</v>
      </c>
      <c r="Y7" s="2" t="str">
        <f t="shared" ref="Y7:Y48" si="7">IF(ISBLANK(N7), "", "1")</f>
        <v/>
      </c>
      <c r="Z7" s="2" t="str">
        <f t="shared" ref="Z7:Z48" si="8">IF(ISBLANK(P7), "", "1")</f>
        <v/>
      </c>
      <c r="AA7" t="str">
        <f t="shared" ref="AA7:AA11" si="9">IF(ISBLANK(M7),"",M7)</f>
        <v/>
      </c>
    </row>
    <row r="8" spans="1:28" x14ac:dyDescent="0.3">
      <c r="A8" s="4" t="s">
        <v>328</v>
      </c>
      <c r="B8" s="4" t="s">
        <v>406</v>
      </c>
      <c r="C8" s="4" t="s">
        <v>44</v>
      </c>
      <c r="D8" s="4" t="s">
        <v>349</v>
      </c>
      <c r="E8" s="4" t="s">
        <v>390</v>
      </c>
      <c r="F8" s="4" t="s">
        <v>12</v>
      </c>
      <c r="G8" s="4" t="s">
        <v>349</v>
      </c>
      <c r="H8" s="4" t="s">
        <v>424</v>
      </c>
      <c r="I8" s="4" t="s">
        <v>425</v>
      </c>
      <c r="J8">
        <v>91</v>
      </c>
      <c r="K8" s="5">
        <v>7.69</v>
      </c>
      <c r="L8" s="4" t="s">
        <v>426</v>
      </c>
      <c r="M8" s="5"/>
      <c r="N8" s="5"/>
      <c r="O8" s="5"/>
      <c r="P8" s="5"/>
      <c r="Q8" t="str">
        <f t="shared" si="0"/>
        <v>10/04/2025 11:44:02</v>
      </c>
      <c r="R8" t="str">
        <f t="shared" si="1"/>
        <v>10/04/2025 11:45:05</v>
      </c>
      <c r="T8" s="2">
        <f t="shared" si="2"/>
        <v>45934.488912037035</v>
      </c>
      <c r="U8" s="2">
        <f t="shared" si="3"/>
        <v>45934.489641203705</v>
      </c>
      <c r="V8">
        <f t="shared" si="4"/>
        <v>91</v>
      </c>
      <c r="W8" s="7">
        <f t="shared" si="5"/>
        <v>7.69</v>
      </c>
      <c r="X8" t="str">
        <f t="shared" si="6"/>
        <v>TT090</v>
      </c>
      <c r="Y8" s="2" t="str">
        <f t="shared" si="7"/>
        <v/>
      </c>
      <c r="Z8" s="2" t="str">
        <f t="shared" si="8"/>
        <v/>
      </c>
      <c r="AA8" t="str">
        <f t="shared" si="9"/>
        <v/>
      </c>
    </row>
    <row r="9" spans="1:28" x14ac:dyDescent="0.3">
      <c r="A9" s="4" t="s">
        <v>328</v>
      </c>
      <c r="B9" s="4" t="s">
        <v>406</v>
      </c>
      <c r="C9" s="4" t="s">
        <v>44</v>
      </c>
      <c r="D9" s="4" t="s">
        <v>349</v>
      </c>
      <c r="E9" s="4" t="s">
        <v>390</v>
      </c>
      <c r="F9" s="4" t="s">
        <v>427</v>
      </c>
      <c r="G9" s="4" t="s">
        <v>349</v>
      </c>
      <c r="H9" s="4" t="s">
        <v>428</v>
      </c>
      <c r="I9" s="4" t="s">
        <v>380</v>
      </c>
      <c r="J9">
        <v>172</v>
      </c>
      <c r="K9" s="5">
        <v>49.74</v>
      </c>
      <c r="L9" s="4" t="s">
        <v>429</v>
      </c>
      <c r="M9" s="5"/>
      <c r="O9" s="5"/>
      <c r="P9" s="5"/>
      <c r="Q9" t="str">
        <f t="shared" si="0"/>
        <v>10/04/2025 11:44:09</v>
      </c>
      <c r="R9" t="str">
        <f t="shared" si="1"/>
        <v>10/04/2025 11:46:15</v>
      </c>
      <c r="T9" s="2">
        <f t="shared" si="2"/>
        <v>45934.488993055558</v>
      </c>
      <c r="U9" s="2">
        <f t="shared" si="3"/>
        <v>45934.490451388891</v>
      </c>
      <c r="V9">
        <f t="shared" si="4"/>
        <v>172</v>
      </c>
      <c r="W9" s="7">
        <f t="shared" si="5"/>
        <v>49.74</v>
      </c>
      <c r="X9" t="str">
        <f t="shared" si="6"/>
        <v>TT074</v>
      </c>
      <c r="Y9" s="2" t="str">
        <f t="shared" si="7"/>
        <v/>
      </c>
      <c r="Z9" s="2" t="str">
        <f t="shared" si="8"/>
        <v/>
      </c>
      <c r="AA9" t="str">
        <f t="shared" si="9"/>
        <v/>
      </c>
    </row>
    <row r="10" spans="1:28" x14ac:dyDescent="0.3">
      <c r="A10" s="4" t="s">
        <v>328</v>
      </c>
      <c r="B10" s="4" t="s">
        <v>406</v>
      </c>
      <c r="C10" s="4" t="s">
        <v>44</v>
      </c>
      <c r="D10" s="4" t="s">
        <v>349</v>
      </c>
      <c r="E10" s="4" t="s">
        <v>424</v>
      </c>
      <c r="F10" s="4" t="s">
        <v>430</v>
      </c>
      <c r="G10" s="4" t="s">
        <v>349</v>
      </c>
      <c r="H10" s="4" t="s">
        <v>428</v>
      </c>
      <c r="I10" s="4" t="s">
        <v>424</v>
      </c>
      <c r="J10">
        <v>133</v>
      </c>
      <c r="K10" s="5">
        <v>21.13</v>
      </c>
      <c r="L10" s="4" t="s">
        <v>431</v>
      </c>
      <c r="M10" s="5"/>
      <c r="N10" s="5"/>
      <c r="O10" s="5"/>
      <c r="P10" s="5"/>
      <c r="Q10" t="str">
        <f t="shared" si="0"/>
        <v>10/04/2025 11:45:00</v>
      </c>
      <c r="R10" t="str">
        <f t="shared" si="1"/>
        <v>10/04/2025 11:46:45</v>
      </c>
      <c r="T10" s="2">
        <f t="shared" si="2"/>
        <v>45934.489583333336</v>
      </c>
      <c r="U10" s="2">
        <f t="shared" si="3"/>
        <v>45934.490798611114</v>
      </c>
      <c r="V10">
        <f t="shared" si="4"/>
        <v>133</v>
      </c>
      <c r="W10" s="7">
        <f t="shared" si="5"/>
        <v>21.13</v>
      </c>
      <c r="X10" t="str">
        <f t="shared" si="6"/>
        <v>TT089</v>
      </c>
      <c r="Y10" s="2" t="str">
        <f t="shared" si="7"/>
        <v/>
      </c>
      <c r="Z10" s="2" t="str">
        <f t="shared" si="8"/>
        <v/>
      </c>
      <c r="AA10" t="str">
        <f t="shared" si="9"/>
        <v/>
      </c>
    </row>
    <row r="11" spans="1:28" x14ac:dyDescent="0.3">
      <c r="A11" s="4" t="s">
        <v>328</v>
      </c>
      <c r="B11" s="4" t="s">
        <v>406</v>
      </c>
      <c r="C11" s="4" t="s">
        <v>44</v>
      </c>
      <c r="D11" s="4" t="s">
        <v>46</v>
      </c>
      <c r="E11" s="4" t="s">
        <v>424</v>
      </c>
      <c r="F11" s="4" t="s">
        <v>397</v>
      </c>
      <c r="G11" s="4" t="s">
        <v>46</v>
      </c>
      <c r="H11" s="4" t="s">
        <v>432</v>
      </c>
      <c r="I11" s="4" t="s">
        <v>382</v>
      </c>
      <c r="J11">
        <v>170</v>
      </c>
      <c r="K11" s="5">
        <v>50.07</v>
      </c>
      <c r="L11" s="4" t="s">
        <v>433</v>
      </c>
      <c r="M11" s="5"/>
      <c r="N11" s="5"/>
      <c r="O11" s="5"/>
      <c r="P11" s="5"/>
      <c r="Q11" t="str">
        <f t="shared" si="0"/>
        <v>10/04/2025 12:45:52</v>
      </c>
      <c r="R11" t="str">
        <f t="shared" si="1"/>
        <v>10/04/2025 12:47:37</v>
      </c>
      <c r="T11" s="2">
        <f t="shared" si="2"/>
        <v>45934.531851851854</v>
      </c>
      <c r="U11" s="2">
        <f t="shared" si="3"/>
        <v>45934.533067129632</v>
      </c>
      <c r="V11">
        <f t="shared" si="4"/>
        <v>170</v>
      </c>
      <c r="W11" s="7">
        <f t="shared" si="5"/>
        <v>50.07</v>
      </c>
      <c r="X11" t="str">
        <f t="shared" si="6"/>
        <v>TT099</v>
      </c>
      <c r="Y11" s="2" t="str">
        <f t="shared" si="7"/>
        <v/>
      </c>
      <c r="Z11" s="2" t="str">
        <f t="shared" si="8"/>
        <v/>
      </c>
      <c r="AA11" t="str">
        <f t="shared" si="9"/>
        <v/>
      </c>
    </row>
    <row r="12" spans="1:28" x14ac:dyDescent="0.3">
      <c r="A12" s="4" t="s">
        <v>328</v>
      </c>
      <c r="B12" s="4" t="s">
        <v>406</v>
      </c>
      <c r="C12" s="4" t="s">
        <v>44</v>
      </c>
      <c r="D12" s="4" t="s">
        <v>46</v>
      </c>
      <c r="E12" s="4" t="s">
        <v>428</v>
      </c>
      <c r="F12" s="4" t="s">
        <v>389</v>
      </c>
      <c r="G12" s="4" t="s">
        <v>46</v>
      </c>
      <c r="H12" s="4" t="s">
        <v>354</v>
      </c>
      <c r="I12" s="4" t="s">
        <v>406</v>
      </c>
      <c r="J12">
        <v>177</v>
      </c>
      <c r="K12" s="5">
        <v>53.49</v>
      </c>
      <c r="L12" s="4" t="s">
        <v>434</v>
      </c>
      <c r="M12" s="5"/>
      <c r="N12" s="5"/>
      <c r="O12" s="5"/>
      <c r="P12" s="5"/>
      <c r="Q12" t="str">
        <f t="shared" si="0"/>
        <v>10/04/2025 12:46:24</v>
      </c>
      <c r="R12" t="str">
        <f t="shared" si="1"/>
        <v>10/04/2025 12:50:04</v>
      </c>
      <c r="T12" s="2">
        <f t="shared" si="2"/>
        <v>45934.532222222224</v>
      </c>
      <c r="U12" s="2">
        <f t="shared" si="3"/>
        <v>45934.534768518519</v>
      </c>
      <c r="V12">
        <f t="shared" si="4"/>
        <v>177</v>
      </c>
      <c r="W12" s="7">
        <f t="shared" si="5"/>
        <v>53.49</v>
      </c>
      <c r="X12" t="str">
        <f t="shared" si="6"/>
        <v>TT076</v>
      </c>
      <c r="Y12" s="2" t="str">
        <f t="shared" si="7"/>
        <v/>
      </c>
      <c r="Z12" s="2" t="str">
        <f t="shared" si="8"/>
        <v/>
      </c>
      <c r="AA12" t="str">
        <f t="shared" ref="AA12:AA48" si="10">IF(ISBLANK(M12),"",M12)</f>
        <v/>
      </c>
    </row>
    <row r="13" spans="1:28" x14ac:dyDescent="0.3">
      <c r="A13" s="4" t="s">
        <v>328</v>
      </c>
      <c r="B13" s="4" t="s">
        <v>406</v>
      </c>
      <c r="C13" s="4" t="s">
        <v>44</v>
      </c>
      <c r="D13" s="4" t="s">
        <v>46</v>
      </c>
      <c r="E13" s="4" t="s">
        <v>432</v>
      </c>
      <c r="F13" s="4" t="s">
        <v>385</v>
      </c>
      <c r="G13" s="4" t="s">
        <v>46</v>
      </c>
      <c r="H13" s="4" t="s">
        <v>435</v>
      </c>
      <c r="I13" s="4" t="s">
        <v>27</v>
      </c>
      <c r="J13">
        <v>101</v>
      </c>
      <c r="K13" s="5">
        <v>9.06</v>
      </c>
      <c r="L13" s="4" t="s">
        <v>436</v>
      </c>
      <c r="M13" s="5"/>
      <c r="N13" s="5"/>
      <c r="O13" s="5"/>
      <c r="P13" s="5"/>
      <c r="Q13" t="str">
        <f t="shared" si="0"/>
        <v>10/04/2025 12:47:08</v>
      </c>
      <c r="R13" t="str">
        <f t="shared" si="1"/>
        <v>10/04/2025 12:48:01</v>
      </c>
      <c r="T13" s="2">
        <f t="shared" si="2"/>
        <v>45934.532731481479</v>
      </c>
      <c r="U13" s="2">
        <f t="shared" si="3"/>
        <v>45934.53334490741</v>
      </c>
      <c r="V13">
        <f t="shared" si="4"/>
        <v>101</v>
      </c>
      <c r="W13" s="7">
        <f t="shared" si="5"/>
        <v>9.06</v>
      </c>
      <c r="X13" t="str">
        <f t="shared" si="6"/>
        <v>TT098</v>
      </c>
      <c r="Y13" s="2" t="str">
        <f t="shared" si="7"/>
        <v/>
      </c>
      <c r="Z13" s="2" t="str">
        <f t="shared" si="8"/>
        <v/>
      </c>
      <c r="AA13" t="str">
        <f t="shared" si="10"/>
        <v/>
      </c>
    </row>
    <row r="14" spans="1:28" x14ac:dyDescent="0.3">
      <c r="A14" s="4" t="s">
        <v>328</v>
      </c>
      <c r="B14" s="4" t="s">
        <v>406</v>
      </c>
      <c r="C14" s="4" t="s">
        <v>44</v>
      </c>
      <c r="D14" s="4" t="s">
        <v>46</v>
      </c>
      <c r="E14" s="4" t="s">
        <v>435</v>
      </c>
      <c r="F14" s="4" t="s">
        <v>384</v>
      </c>
      <c r="G14" s="4" t="s">
        <v>46</v>
      </c>
      <c r="H14" s="4" t="s">
        <v>437</v>
      </c>
      <c r="I14" s="4" t="s">
        <v>196</v>
      </c>
      <c r="J14">
        <v>129</v>
      </c>
      <c r="K14" s="5">
        <v>19.07</v>
      </c>
      <c r="L14" s="4" t="s">
        <v>438</v>
      </c>
      <c r="M14" s="5"/>
      <c r="N14" s="5"/>
      <c r="O14" s="5"/>
      <c r="P14" s="5"/>
      <c r="Q14" t="str">
        <f t="shared" si="0"/>
        <v>10/04/2025 12:48:16</v>
      </c>
      <c r="R14" t="str">
        <f t="shared" si="1"/>
        <v>10/04/2025 12:51:14</v>
      </c>
      <c r="T14" s="2">
        <f t="shared" si="2"/>
        <v>45934.533518518518</v>
      </c>
      <c r="U14" s="2">
        <f t="shared" si="3"/>
        <v>45934.535578703704</v>
      </c>
      <c r="V14">
        <f t="shared" si="4"/>
        <v>129</v>
      </c>
      <c r="W14" s="7">
        <f t="shared" si="5"/>
        <v>19.07</v>
      </c>
      <c r="X14" t="str">
        <f t="shared" si="6"/>
        <v>TT078</v>
      </c>
      <c r="Y14" s="2" t="str">
        <f t="shared" si="7"/>
        <v/>
      </c>
      <c r="Z14" s="2" t="str">
        <f t="shared" si="8"/>
        <v/>
      </c>
      <c r="AA14" t="str">
        <f t="shared" si="10"/>
        <v/>
      </c>
    </row>
    <row r="15" spans="1:28" x14ac:dyDescent="0.3">
      <c r="A15" s="4" t="s">
        <v>328</v>
      </c>
      <c r="B15" s="4" t="s">
        <v>406</v>
      </c>
      <c r="C15" s="4" t="s">
        <v>44</v>
      </c>
      <c r="D15" s="4" t="s">
        <v>46</v>
      </c>
      <c r="E15" s="4" t="s">
        <v>439</v>
      </c>
      <c r="F15" s="4" t="s">
        <v>440</v>
      </c>
      <c r="G15" s="4" t="s">
        <v>46</v>
      </c>
      <c r="H15" s="4" t="s">
        <v>397</v>
      </c>
      <c r="I15" s="4" t="s">
        <v>395</v>
      </c>
      <c r="J15">
        <v>137</v>
      </c>
      <c r="K15" s="5">
        <v>24</v>
      </c>
      <c r="L15" s="4" t="s">
        <v>441</v>
      </c>
      <c r="M15" s="5"/>
      <c r="N15" s="5"/>
      <c r="O15" s="5"/>
      <c r="P15" s="5"/>
      <c r="Q15" t="str">
        <f t="shared" si="0"/>
        <v>10/04/2025 12:49:38</v>
      </c>
      <c r="R15" t="str">
        <f t="shared" si="1"/>
        <v>10/04/2025 12:52:57</v>
      </c>
      <c r="T15" s="2">
        <f t="shared" si="2"/>
        <v>45934.534467592595</v>
      </c>
      <c r="U15" s="2">
        <f t="shared" si="3"/>
        <v>45934.536770833336</v>
      </c>
      <c r="V15">
        <f t="shared" si="4"/>
        <v>137</v>
      </c>
      <c r="W15" s="7">
        <f t="shared" si="5"/>
        <v>24</v>
      </c>
      <c r="X15" t="str">
        <f t="shared" si="6"/>
        <v>TT080</v>
      </c>
      <c r="Y15" s="2" t="str">
        <f t="shared" si="7"/>
        <v/>
      </c>
      <c r="Z15" s="2" t="str">
        <f t="shared" si="8"/>
        <v/>
      </c>
      <c r="AA15" t="str">
        <f t="shared" si="10"/>
        <v/>
      </c>
    </row>
    <row r="16" spans="1:28" x14ac:dyDescent="0.3">
      <c r="A16" s="4" t="s">
        <v>328</v>
      </c>
      <c r="B16" s="4" t="s">
        <v>406</v>
      </c>
      <c r="C16" s="4" t="s">
        <v>44</v>
      </c>
      <c r="D16" s="4" t="s">
        <v>54</v>
      </c>
      <c r="E16" s="4" t="s">
        <v>397</v>
      </c>
      <c r="F16" s="4" t="s">
        <v>442</v>
      </c>
      <c r="G16" s="4" t="s">
        <v>54</v>
      </c>
      <c r="H16" s="4" t="s">
        <v>443</v>
      </c>
      <c r="I16" s="4" t="s">
        <v>385</v>
      </c>
      <c r="J16">
        <v>177</v>
      </c>
      <c r="K16" s="5">
        <v>48.21</v>
      </c>
      <c r="L16" s="4" t="s">
        <v>444</v>
      </c>
      <c r="M16" s="5"/>
      <c r="N16" s="5"/>
      <c r="O16" s="5"/>
      <c r="P16" s="5"/>
      <c r="Q16" t="str">
        <f t="shared" si="0"/>
        <v>10/04/2025 13:52:34</v>
      </c>
      <c r="R16" t="str">
        <f t="shared" si="1"/>
        <v>10/04/2025 13:55:08</v>
      </c>
      <c r="T16" s="2">
        <f t="shared" si="2"/>
        <v>45934.5781712963</v>
      </c>
      <c r="U16" s="2">
        <f t="shared" si="3"/>
        <v>45934.579953703702</v>
      </c>
      <c r="V16">
        <f t="shared" si="4"/>
        <v>177</v>
      </c>
      <c r="W16" s="7">
        <f t="shared" si="5"/>
        <v>48.21</v>
      </c>
      <c r="X16" t="str">
        <f t="shared" si="6"/>
        <v>TT055</v>
      </c>
      <c r="Y16" s="2" t="str">
        <f t="shared" si="7"/>
        <v/>
      </c>
      <c r="Z16" s="2" t="str">
        <f t="shared" si="8"/>
        <v/>
      </c>
      <c r="AA16" t="str">
        <f t="shared" si="10"/>
        <v/>
      </c>
    </row>
    <row r="17" spans="1:27" x14ac:dyDescent="0.3">
      <c r="A17" s="4" t="s">
        <v>328</v>
      </c>
      <c r="B17" s="4" t="s">
        <v>406</v>
      </c>
      <c r="C17" s="4" t="s">
        <v>44</v>
      </c>
      <c r="D17" s="4" t="s">
        <v>54</v>
      </c>
      <c r="E17" s="4" t="s">
        <v>397</v>
      </c>
      <c r="F17" s="4" t="s">
        <v>424</v>
      </c>
      <c r="G17" s="4" t="s">
        <v>54</v>
      </c>
      <c r="H17" s="4" t="s">
        <v>445</v>
      </c>
      <c r="I17" s="4" t="s">
        <v>427</v>
      </c>
      <c r="J17">
        <v>129</v>
      </c>
      <c r="K17" s="5">
        <v>18.72</v>
      </c>
      <c r="L17" s="4" t="s">
        <v>446</v>
      </c>
      <c r="M17" s="5"/>
      <c r="N17" s="5"/>
      <c r="O17" s="5"/>
      <c r="P17" s="5"/>
      <c r="Q17" t="str">
        <f t="shared" si="0"/>
        <v>10/04/2025 13:52:45</v>
      </c>
      <c r="R17" t="str">
        <f t="shared" si="1"/>
        <v>10/04/2025 13:53:09</v>
      </c>
      <c r="T17" s="2">
        <f t="shared" si="2"/>
        <v>45934.578298611108</v>
      </c>
      <c r="U17" s="2">
        <f t="shared" si="3"/>
        <v>45934.578576388885</v>
      </c>
      <c r="V17">
        <f t="shared" si="4"/>
        <v>129</v>
      </c>
      <c r="W17" s="7">
        <f t="shared" si="5"/>
        <v>18.72</v>
      </c>
      <c r="X17" t="str">
        <f t="shared" si="6"/>
        <v>TT056</v>
      </c>
      <c r="Y17" s="2" t="str">
        <f t="shared" si="7"/>
        <v/>
      </c>
      <c r="Z17" s="2" t="str">
        <f t="shared" si="8"/>
        <v/>
      </c>
      <c r="AA17" t="str">
        <f t="shared" si="10"/>
        <v/>
      </c>
    </row>
    <row r="18" spans="1:27" x14ac:dyDescent="0.3">
      <c r="A18" s="4" t="s">
        <v>328</v>
      </c>
      <c r="B18" s="4" t="s">
        <v>406</v>
      </c>
      <c r="C18" s="4" t="s">
        <v>44</v>
      </c>
      <c r="D18" s="4" t="s">
        <v>54</v>
      </c>
      <c r="E18" s="4" t="s">
        <v>397</v>
      </c>
      <c r="F18" s="4" t="s">
        <v>449</v>
      </c>
      <c r="G18" s="4" t="s">
        <v>54</v>
      </c>
      <c r="H18" s="4" t="s">
        <v>417</v>
      </c>
      <c r="I18" s="4" t="s">
        <v>450</v>
      </c>
      <c r="J18">
        <v>147</v>
      </c>
      <c r="K18" s="5">
        <v>28.38</v>
      </c>
      <c r="L18" s="4" t="s">
        <v>451</v>
      </c>
      <c r="M18" s="5"/>
      <c r="N18" s="5"/>
      <c r="O18" s="5"/>
      <c r="P18" s="5"/>
      <c r="Q18" t="str">
        <f t="shared" si="0"/>
        <v>10/04/2025 13:52:59</v>
      </c>
      <c r="R18" t="str">
        <f t="shared" si="1"/>
        <v>10/04/2025 13:54:39</v>
      </c>
      <c r="T18" s="2">
        <f t="shared" si="2"/>
        <v>45934.578460648147</v>
      </c>
      <c r="U18" s="2">
        <f t="shared" si="3"/>
        <v>45934.579618055555</v>
      </c>
      <c r="V18">
        <f t="shared" si="4"/>
        <v>147</v>
      </c>
      <c r="W18" s="7">
        <f t="shared" si="5"/>
        <v>28.38</v>
      </c>
      <c r="X18" t="str">
        <f t="shared" si="6"/>
        <v>TT057</v>
      </c>
      <c r="Y18" s="2" t="str">
        <f t="shared" si="7"/>
        <v/>
      </c>
      <c r="Z18" s="2" t="str">
        <f t="shared" si="8"/>
        <v/>
      </c>
      <c r="AA18" t="str">
        <f t="shared" si="10"/>
        <v/>
      </c>
    </row>
    <row r="19" spans="1:27" x14ac:dyDescent="0.3">
      <c r="A19" s="4" t="s">
        <v>328</v>
      </c>
      <c r="B19" s="4" t="s">
        <v>406</v>
      </c>
      <c r="C19" s="4" t="s">
        <v>44</v>
      </c>
      <c r="D19" s="4" t="s">
        <v>54</v>
      </c>
      <c r="E19" s="4" t="s">
        <v>445</v>
      </c>
      <c r="F19" s="4" t="s">
        <v>400</v>
      </c>
      <c r="G19" s="4" t="s">
        <v>54</v>
      </c>
      <c r="H19" s="4" t="s">
        <v>445</v>
      </c>
      <c r="I19" s="4" t="s">
        <v>424</v>
      </c>
      <c r="J19">
        <v>161</v>
      </c>
      <c r="K19" s="5">
        <v>13.05</v>
      </c>
      <c r="L19" s="4" t="s">
        <v>447</v>
      </c>
      <c r="M19" s="5" t="s">
        <v>448</v>
      </c>
      <c r="N19" s="5"/>
      <c r="O19" s="5"/>
      <c r="P19" s="5"/>
      <c r="Q19" t="str">
        <f t="shared" si="0"/>
        <v>10/04/2025 13:53:06</v>
      </c>
      <c r="R19" t="str">
        <f t="shared" si="1"/>
        <v>10/04/2025 13:53:45</v>
      </c>
      <c r="T19" s="2">
        <f t="shared" si="2"/>
        <v>45934.578541666669</v>
      </c>
      <c r="U19" s="2">
        <f t="shared" si="3"/>
        <v>45934.578993055555</v>
      </c>
      <c r="V19">
        <f t="shared" si="4"/>
        <v>161</v>
      </c>
      <c r="W19" s="7">
        <f t="shared" si="5"/>
        <v>13.05</v>
      </c>
      <c r="X19" t="str">
        <f t="shared" si="6"/>
        <v>TT049</v>
      </c>
      <c r="Y19" s="2" t="str">
        <f t="shared" si="7"/>
        <v/>
      </c>
      <c r="Z19" s="2" t="str">
        <f t="shared" si="8"/>
        <v/>
      </c>
      <c r="AA19" t="str">
        <f t="shared" si="10"/>
        <v>Righted itself immediately but was rigid at first</v>
      </c>
    </row>
    <row r="20" spans="1:27" x14ac:dyDescent="0.3">
      <c r="A20" s="4" t="s">
        <v>328</v>
      </c>
      <c r="B20" s="4" t="s">
        <v>406</v>
      </c>
      <c r="C20" s="4" t="s">
        <v>44</v>
      </c>
      <c r="D20" s="4" t="s">
        <v>54</v>
      </c>
      <c r="E20" s="4" t="s">
        <v>445</v>
      </c>
      <c r="F20" s="4" t="s">
        <v>349</v>
      </c>
      <c r="G20" s="4" t="s">
        <v>54</v>
      </c>
      <c r="H20" s="4" t="s">
        <v>417</v>
      </c>
      <c r="I20" s="4" t="s">
        <v>418</v>
      </c>
      <c r="J20">
        <v>94</v>
      </c>
      <c r="K20" s="5">
        <v>7.26</v>
      </c>
      <c r="L20" s="4" t="s">
        <v>452</v>
      </c>
      <c r="M20" s="5"/>
      <c r="N20" s="5"/>
      <c r="O20" s="5"/>
      <c r="P20" s="5"/>
      <c r="Q20" t="str">
        <f t="shared" si="0"/>
        <v>10/04/2025 13:53:11</v>
      </c>
      <c r="R20" t="str">
        <f t="shared" si="1"/>
        <v>10/04/2025 13:54:36</v>
      </c>
      <c r="T20" s="2">
        <f t="shared" si="2"/>
        <v>45934.578599537039</v>
      </c>
      <c r="U20" s="2">
        <f t="shared" si="3"/>
        <v>45934.579583333332</v>
      </c>
      <c r="V20">
        <f t="shared" si="4"/>
        <v>94</v>
      </c>
      <c r="W20" s="7">
        <f t="shared" si="5"/>
        <v>7.26</v>
      </c>
      <c r="X20" t="str">
        <f t="shared" si="6"/>
        <v>TT050</v>
      </c>
      <c r="Y20" s="2" t="str">
        <f t="shared" si="7"/>
        <v/>
      </c>
      <c r="Z20" s="2" t="str">
        <f t="shared" si="8"/>
        <v/>
      </c>
      <c r="AA20" t="str">
        <f t="shared" si="10"/>
        <v/>
      </c>
    </row>
    <row r="21" spans="1:27" x14ac:dyDescent="0.3">
      <c r="A21" s="4"/>
      <c r="B21" s="4"/>
      <c r="C21" s="4"/>
      <c r="K21" s="5"/>
      <c r="M21" s="5"/>
      <c r="N21" s="5"/>
      <c r="O21" s="5"/>
      <c r="P21" s="5"/>
      <c r="Q21" t="str">
        <f t="shared" si="0"/>
        <v>// ::</v>
      </c>
      <c r="R21" t="str">
        <f t="shared" si="1"/>
        <v>// ::</v>
      </c>
      <c r="T21" s="2" t="e">
        <f t="shared" si="2"/>
        <v>#VALUE!</v>
      </c>
      <c r="U21" s="2" t="e">
        <f t="shared" si="3"/>
        <v>#VALUE!</v>
      </c>
      <c r="V21">
        <f t="shared" si="4"/>
        <v>0</v>
      </c>
      <c r="W21" s="7">
        <f t="shared" si="5"/>
        <v>0</v>
      </c>
      <c r="X21">
        <f t="shared" si="6"/>
        <v>0</v>
      </c>
      <c r="Y21" s="2" t="str">
        <f t="shared" si="7"/>
        <v/>
      </c>
      <c r="Z21" s="2" t="str">
        <f t="shared" si="8"/>
        <v/>
      </c>
      <c r="AA21" t="str">
        <f t="shared" si="10"/>
        <v/>
      </c>
    </row>
    <row r="22" spans="1:27" x14ac:dyDescent="0.3">
      <c r="A22" s="4"/>
      <c r="B22" s="4"/>
      <c r="C22" s="4"/>
      <c r="K22" s="5"/>
      <c r="M22" s="5"/>
      <c r="N22" s="5"/>
      <c r="O22" s="5"/>
      <c r="P22" s="5"/>
      <c r="Q22" t="str">
        <f t="shared" si="0"/>
        <v>// ::</v>
      </c>
      <c r="R22" t="str">
        <f t="shared" si="1"/>
        <v>// ::</v>
      </c>
      <c r="T22" s="2" t="e">
        <f t="shared" si="2"/>
        <v>#VALUE!</v>
      </c>
      <c r="U22" s="2" t="e">
        <f t="shared" si="3"/>
        <v>#VALUE!</v>
      </c>
      <c r="V22">
        <f t="shared" si="4"/>
        <v>0</v>
      </c>
      <c r="W22" s="7">
        <f t="shared" si="5"/>
        <v>0</v>
      </c>
      <c r="X22">
        <f t="shared" si="6"/>
        <v>0</v>
      </c>
      <c r="Y22" s="2" t="str">
        <f t="shared" si="7"/>
        <v/>
      </c>
      <c r="Z22" s="2" t="str">
        <f t="shared" si="8"/>
        <v/>
      </c>
      <c r="AA22" t="str">
        <f t="shared" si="10"/>
        <v/>
      </c>
    </row>
    <row r="23" spans="1:27" x14ac:dyDescent="0.3">
      <c r="A23" s="4"/>
      <c r="B23" s="4"/>
      <c r="C23" s="4"/>
      <c r="K23" s="5"/>
      <c r="M23" s="5"/>
      <c r="N23" s="5"/>
      <c r="O23" s="5"/>
      <c r="P23" s="5"/>
      <c r="Q23" t="str">
        <f t="shared" si="0"/>
        <v>// ::</v>
      </c>
      <c r="R23" t="str">
        <f t="shared" si="1"/>
        <v>// ::</v>
      </c>
      <c r="T23" s="2" t="e">
        <f t="shared" si="2"/>
        <v>#VALUE!</v>
      </c>
      <c r="U23" s="2" t="e">
        <f t="shared" si="3"/>
        <v>#VALUE!</v>
      </c>
      <c r="V23">
        <f t="shared" si="4"/>
        <v>0</v>
      </c>
      <c r="W23" s="7">
        <f t="shared" si="5"/>
        <v>0</v>
      </c>
      <c r="X23">
        <f t="shared" si="6"/>
        <v>0</v>
      </c>
      <c r="Y23" s="2" t="str">
        <f t="shared" si="7"/>
        <v/>
      </c>
      <c r="Z23" s="2" t="str">
        <f t="shared" si="8"/>
        <v/>
      </c>
      <c r="AA23" t="str">
        <f t="shared" si="10"/>
        <v/>
      </c>
    </row>
    <row r="24" spans="1:27" x14ac:dyDescent="0.3">
      <c r="A24" s="4"/>
      <c r="B24" s="4"/>
      <c r="C24" s="4"/>
      <c r="K24" s="5"/>
      <c r="M24" s="5"/>
      <c r="N24" s="5"/>
      <c r="O24" s="5"/>
      <c r="P24" s="5"/>
      <c r="Q24" t="str">
        <f t="shared" si="0"/>
        <v>// ::</v>
      </c>
      <c r="R24" t="str">
        <f t="shared" si="1"/>
        <v>// ::</v>
      </c>
      <c r="T24" s="2" t="e">
        <f t="shared" si="2"/>
        <v>#VALUE!</v>
      </c>
      <c r="U24" s="2" t="e">
        <f t="shared" si="3"/>
        <v>#VALUE!</v>
      </c>
      <c r="V24">
        <f t="shared" si="4"/>
        <v>0</v>
      </c>
      <c r="W24" s="7">
        <f t="shared" si="5"/>
        <v>0</v>
      </c>
      <c r="X24">
        <f t="shared" si="6"/>
        <v>0</v>
      </c>
      <c r="Y24" s="2" t="str">
        <f t="shared" si="7"/>
        <v/>
      </c>
      <c r="Z24" s="2" t="str">
        <f t="shared" si="8"/>
        <v/>
      </c>
      <c r="AA24" t="str">
        <f t="shared" si="10"/>
        <v/>
      </c>
    </row>
    <row r="25" spans="1:27" x14ac:dyDescent="0.3">
      <c r="A25" s="4"/>
      <c r="B25" s="4"/>
      <c r="C25" s="4"/>
      <c r="K25" s="5"/>
      <c r="M25" s="5"/>
      <c r="N25" s="5"/>
      <c r="O25" s="5"/>
      <c r="P25" s="5"/>
      <c r="Q25" t="str">
        <f t="shared" si="0"/>
        <v>// ::</v>
      </c>
      <c r="R25" t="str">
        <f t="shared" si="1"/>
        <v>// ::</v>
      </c>
      <c r="T25" s="2" t="e">
        <f t="shared" si="2"/>
        <v>#VALUE!</v>
      </c>
      <c r="U25" s="2" t="e">
        <f t="shared" si="3"/>
        <v>#VALUE!</v>
      </c>
      <c r="V25">
        <f t="shared" si="4"/>
        <v>0</v>
      </c>
      <c r="W25" s="7">
        <f t="shared" si="5"/>
        <v>0</v>
      </c>
      <c r="X25">
        <f t="shared" si="6"/>
        <v>0</v>
      </c>
      <c r="Y25" s="2" t="str">
        <f t="shared" si="7"/>
        <v/>
      </c>
      <c r="Z25" s="2" t="str">
        <f t="shared" si="8"/>
        <v/>
      </c>
      <c r="AA25" t="str">
        <f t="shared" si="10"/>
        <v/>
      </c>
    </row>
    <row r="26" spans="1:27" x14ac:dyDescent="0.3">
      <c r="A26" s="4"/>
      <c r="B26" s="4"/>
      <c r="C26" s="4"/>
      <c r="K26" s="5"/>
      <c r="M26" s="5"/>
      <c r="N26" s="5"/>
      <c r="O26" s="5"/>
      <c r="P26" s="5"/>
      <c r="Q26" t="str">
        <f t="shared" si="0"/>
        <v>// ::</v>
      </c>
      <c r="R26" t="str">
        <f t="shared" si="1"/>
        <v>// ::</v>
      </c>
      <c r="T26" s="2" t="e">
        <f t="shared" si="2"/>
        <v>#VALUE!</v>
      </c>
      <c r="U26" s="2" t="e">
        <f t="shared" si="3"/>
        <v>#VALUE!</v>
      </c>
      <c r="V26">
        <f t="shared" si="4"/>
        <v>0</v>
      </c>
      <c r="W26" s="7">
        <f t="shared" si="5"/>
        <v>0</v>
      </c>
      <c r="X26">
        <f t="shared" si="6"/>
        <v>0</v>
      </c>
      <c r="Y26" s="2" t="str">
        <f t="shared" si="7"/>
        <v/>
      </c>
      <c r="Z26" s="2" t="str">
        <f t="shared" si="8"/>
        <v/>
      </c>
      <c r="AA26" t="str">
        <f t="shared" si="10"/>
        <v/>
      </c>
    </row>
    <row r="27" spans="1:27" x14ac:dyDescent="0.3">
      <c r="A27" s="4"/>
      <c r="B27" s="4"/>
      <c r="C27" s="4"/>
      <c r="K27" s="5"/>
      <c r="M27" s="5"/>
      <c r="N27" s="5"/>
      <c r="O27" s="5"/>
      <c r="P27" s="5"/>
      <c r="Q27" t="str">
        <f t="shared" si="0"/>
        <v>// ::</v>
      </c>
      <c r="R27" t="str">
        <f t="shared" si="1"/>
        <v>// ::</v>
      </c>
      <c r="T27" s="2" t="e">
        <f t="shared" si="2"/>
        <v>#VALUE!</v>
      </c>
      <c r="U27" s="2" t="e">
        <f t="shared" si="3"/>
        <v>#VALUE!</v>
      </c>
      <c r="V27">
        <f t="shared" si="4"/>
        <v>0</v>
      </c>
      <c r="W27" s="7">
        <f t="shared" si="5"/>
        <v>0</v>
      </c>
      <c r="X27">
        <f t="shared" si="6"/>
        <v>0</v>
      </c>
      <c r="Y27" s="2" t="str">
        <f t="shared" si="7"/>
        <v/>
      </c>
      <c r="Z27" s="2" t="str">
        <f t="shared" si="8"/>
        <v/>
      </c>
      <c r="AA27" t="str">
        <f t="shared" si="10"/>
        <v/>
      </c>
    </row>
    <row r="28" spans="1:27" x14ac:dyDescent="0.3">
      <c r="A28" s="4"/>
      <c r="B28" s="4"/>
      <c r="C28" s="4"/>
      <c r="K28" s="5"/>
      <c r="M28" s="5"/>
      <c r="N28" s="5"/>
      <c r="O28" s="5"/>
      <c r="P28" s="5"/>
      <c r="Q28" t="str">
        <f t="shared" si="0"/>
        <v>// ::</v>
      </c>
      <c r="R28" t="str">
        <f t="shared" si="1"/>
        <v>// ::</v>
      </c>
      <c r="T28" s="2" t="e">
        <f t="shared" si="2"/>
        <v>#VALUE!</v>
      </c>
      <c r="U28" s="2" t="e">
        <f t="shared" si="3"/>
        <v>#VALUE!</v>
      </c>
      <c r="V28">
        <f t="shared" si="4"/>
        <v>0</v>
      </c>
      <c r="W28" s="7">
        <f t="shared" si="5"/>
        <v>0</v>
      </c>
      <c r="X28">
        <f t="shared" si="6"/>
        <v>0</v>
      </c>
      <c r="Y28" s="2" t="str">
        <f t="shared" si="7"/>
        <v/>
      </c>
      <c r="Z28" s="2" t="str">
        <f t="shared" si="8"/>
        <v/>
      </c>
      <c r="AA28" t="str">
        <f t="shared" si="10"/>
        <v/>
      </c>
    </row>
    <row r="29" spans="1:27" x14ac:dyDescent="0.3">
      <c r="A29" s="4"/>
      <c r="B29" s="4"/>
      <c r="C29" s="4"/>
      <c r="K29" s="5"/>
      <c r="M29" s="5"/>
      <c r="N29" s="5"/>
      <c r="O29" s="5"/>
      <c r="P29" s="5"/>
      <c r="Q29" t="str">
        <f t="shared" si="0"/>
        <v>// ::</v>
      </c>
      <c r="R29" t="str">
        <f t="shared" si="1"/>
        <v>// ::</v>
      </c>
      <c r="T29" s="2" t="e">
        <f t="shared" si="2"/>
        <v>#VALUE!</v>
      </c>
      <c r="U29" s="2" t="e">
        <f t="shared" si="3"/>
        <v>#VALUE!</v>
      </c>
      <c r="V29">
        <f t="shared" si="4"/>
        <v>0</v>
      </c>
      <c r="W29" s="7">
        <f t="shared" si="5"/>
        <v>0</v>
      </c>
      <c r="X29">
        <f t="shared" si="6"/>
        <v>0</v>
      </c>
      <c r="Y29" s="2" t="str">
        <f t="shared" si="7"/>
        <v/>
      </c>
      <c r="Z29" s="2" t="str">
        <f t="shared" si="8"/>
        <v/>
      </c>
      <c r="AA29" t="str">
        <f t="shared" si="10"/>
        <v/>
      </c>
    </row>
    <row r="30" spans="1:27" x14ac:dyDescent="0.3">
      <c r="A30" s="4"/>
      <c r="B30" s="4"/>
      <c r="C30" s="4"/>
      <c r="K30" s="5"/>
      <c r="M30" s="5"/>
      <c r="N30" s="5"/>
      <c r="O30" s="5"/>
      <c r="P30" s="5"/>
      <c r="Q30" t="str">
        <f t="shared" si="0"/>
        <v>// ::</v>
      </c>
      <c r="R30" t="str">
        <f t="shared" si="1"/>
        <v>// ::</v>
      </c>
      <c r="T30" s="2" t="e">
        <f t="shared" si="2"/>
        <v>#VALUE!</v>
      </c>
      <c r="U30" s="2" t="e">
        <f t="shared" si="3"/>
        <v>#VALUE!</v>
      </c>
      <c r="V30">
        <f t="shared" si="4"/>
        <v>0</v>
      </c>
      <c r="W30" s="7">
        <f t="shared" si="5"/>
        <v>0</v>
      </c>
      <c r="X30">
        <f t="shared" si="6"/>
        <v>0</v>
      </c>
      <c r="Y30" s="2" t="str">
        <f t="shared" si="7"/>
        <v/>
      </c>
      <c r="Z30" s="2" t="str">
        <f t="shared" si="8"/>
        <v/>
      </c>
      <c r="AA30" t="str">
        <f t="shared" si="10"/>
        <v/>
      </c>
    </row>
    <row r="31" spans="1:27" x14ac:dyDescent="0.3">
      <c r="A31" s="4"/>
      <c r="B31" s="4"/>
      <c r="C31" s="4"/>
      <c r="K31" s="5"/>
      <c r="M31" s="5"/>
      <c r="N31" s="5"/>
      <c r="O31" s="5"/>
      <c r="P31" s="5"/>
      <c r="Q31" t="str">
        <f t="shared" si="0"/>
        <v>// ::</v>
      </c>
      <c r="R31" t="str">
        <f t="shared" si="1"/>
        <v>// ::</v>
      </c>
      <c r="T31" s="2" t="e">
        <f t="shared" si="2"/>
        <v>#VALUE!</v>
      </c>
      <c r="U31" s="2" t="e">
        <f t="shared" si="3"/>
        <v>#VALUE!</v>
      </c>
      <c r="V31">
        <f t="shared" si="4"/>
        <v>0</v>
      </c>
      <c r="W31" s="7">
        <f t="shared" si="5"/>
        <v>0</v>
      </c>
      <c r="X31">
        <f t="shared" si="6"/>
        <v>0</v>
      </c>
      <c r="Y31" s="2" t="str">
        <f t="shared" si="7"/>
        <v/>
      </c>
      <c r="Z31" s="2" t="str">
        <f t="shared" si="8"/>
        <v/>
      </c>
      <c r="AA31" t="str">
        <f t="shared" si="10"/>
        <v/>
      </c>
    </row>
    <row r="32" spans="1:27" x14ac:dyDescent="0.3">
      <c r="A32" s="4"/>
      <c r="B32" s="4"/>
      <c r="C32" s="4"/>
      <c r="K32" s="5"/>
      <c r="M32" s="5"/>
      <c r="N32" s="5"/>
      <c r="O32" s="5"/>
      <c r="P32" s="5"/>
      <c r="Q32" t="str">
        <f t="shared" si="0"/>
        <v>// ::</v>
      </c>
      <c r="R32" t="str">
        <f t="shared" si="1"/>
        <v>// ::</v>
      </c>
      <c r="T32" s="2" t="e">
        <f t="shared" si="2"/>
        <v>#VALUE!</v>
      </c>
      <c r="U32" s="2" t="e">
        <f t="shared" si="3"/>
        <v>#VALUE!</v>
      </c>
      <c r="V32">
        <f t="shared" si="4"/>
        <v>0</v>
      </c>
      <c r="W32" s="7">
        <f t="shared" si="5"/>
        <v>0</v>
      </c>
      <c r="X32">
        <f t="shared" si="6"/>
        <v>0</v>
      </c>
      <c r="Y32" s="2" t="str">
        <f t="shared" si="7"/>
        <v/>
      </c>
      <c r="Z32" s="2" t="str">
        <f t="shared" si="8"/>
        <v/>
      </c>
      <c r="AA32" t="str">
        <f t="shared" si="10"/>
        <v/>
      </c>
    </row>
    <row r="33" spans="1:27" x14ac:dyDescent="0.3">
      <c r="A33" s="4"/>
      <c r="B33" s="4"/>
      <c r="C33" s="4"/>
      <c r="K33" s="5"/>
      <c r="M33" s="5"/>
      <c r="N33" s="5"/>
      <c r="O33" s="5"/>
      <c r="P33" s="5"/>
      <c r="Q33" t="str">
        <f t="shared" si="0"/>
        <v>// ::</v>
      </c>
      <c r="R33" t="str">
        <f t="shared" si="1"/>
        <v>// ::</v>
      </c>
      <c r="T33" s="2" t="e">
        <f t="shared" si="2"/>
        <v>#VALUE!</v>
      </c>
      <c r="U33" s="2" t="e">
        <f t="shared" si="3"/>
        <v>#VALUE!</v>
      </c>
      <c r="V33">
        <f t="shared" si="4"/>
        <v>0</v>
      </c>
      <c r="W33" s="7">
        <f t="shared" si="5"/>
        <v>0</v>
      </c>
      <c r="X33">
        <f t="shared" si="6"/>
        <v>0</v>
      </c>
      <c r="Y33" s="2" t="str">
        <f t="shared" si="7"/>
        <v/>
      </c>
      <c r="Z33" s="2" t="str">
        <f t="shared" si="8"/>
        <v/>
      </c>
      <c r="AA33" t="str">
        <f t="shared" si="10"/>
        <v/>
      </c>
    </row>
    <row r="34" spans="1:27" x14ac:dyDescent="0.3">
      <c r="A34" s="4"/>
      <c r="B34" s="4"/>
      <c r="C34" s="4"/>
      <c r="K34" s="5"/>
      <c r="M34" s="5"/>
      <c r="N34" s="5"/>
      <c r="O34" s="5"/>
      <c r="P34" s="5"/>
      <c r="Q34" t="str">
        <f t="shared" si="0"/>
        <v>// ::</v>
      </c>
      <c r="R34" t="str">
        <f t="shared" si="1"/>
        <v>// ::</v>
      </c>
      <c r="T34" s="2" t="e">
        <f t="shared" si="2"/>
        <v>#VALUE!</v>
      </c>
      <c r="U34" s="2" t="e">
        <f t="shared" si="3"/>
        <v>#VALUE!</v>
      </c>
      <c r="V34">
        <f t="shared" si="4"/>
        <v>0</v>
      </c>
      <c r="W34" s="7">
        <f t="shared" si="5"/>
        <v>0</v>
      </c>
      <c r="X34">
        <f t="shared" si="6"/>
        <v>0</v>
      </c>
      <c r="Y34" s="2" t="str">
        <f t="shared" si="7"/>
        <v/>
      </c>
      <c r="Z34" s="2" t="str">
        <f t="shared" si="8"/>
        <v/>
      </c>
      <c r="AA34" t="str">
        <f t="shared" si="10"/>
        <v/>
      </c>
    </row>
    <row r="35" spans="1:27" x14ac:dyDescent="0.3">
      <c r="A35" s="4"/>
      <c r="B35" s="4"/>
      <c r="C35" s="4"/>
      <c r="K35" s="5"/>
      <c r="M35" s="5"/>
      <c r="N35" s="5"/>
      <c r="O35" s="5"/>
      <c r="P35" s="5"/>
      <c r="Q35" t="str">
        <f t="shared" si="0"/>
        <v>// ::</v>
      </c>
      <c r="R35" t="str">
        <f t="shared" si="1"/>
        <v>// ::</v>
      </c>
      <c r="T35" s="2" t="e">
        <f t="shared" si="2"/>
        <v>#VALUE!</v>
      </c>
      <c r="U35" s="2" t="e">
        <f t="shared" si="3"/>
        <v>#VALUE!</v>
      </c>
      <c r="V35">
        <f t="shared" si="4"/>
        <v>0</v>
      </c>
      <c r="W35" s="7">
        <f t="shared" si="5"/>
        <v>0</v>
      </c>
      <c r="X35">
        <f t="shared" si="6"/>
        <v>0</v>
      </c>
      <c r="Y35" s="2" t="str">
        <f t="shared" si="7"/>
        <v/>
      </c>
      <c r="Z35" s="2" t="str">
        <f t="shared" si="8"/>
        <v/>
      </c>
      <c r="AA35" t="str">
        <f t="shared" si="10"/>
        <v/>
      </c>
    </row>
    <row r="36" spans="1:27" x14ac:dyDescent="0.3">
      <c r="A36" s="4"/>
      <c r="B36" s="4"/>
      <c r="C36" s="4"/>
      <c r="K36" s="5"/>
      <c r="M36" s="5"/>
      <c r="N36" s="5"/>
      <c r="O36" s="5"/>
      <c r="P36" s="5"/>
      <c r="Q36" t="str">
        <f t="shared" si="0"/>
        <v>// ::</v>
      </c>
      <c r="R36" t="str">
        <f t="shared" si="1"/>
        <v>// ::</v>
      </c>
      <c r="T36" s="2" t="e">
        <f t="shared" si="2"/>
        <v>#VALUE!</v>
      </c>
      <c r="U36" s="2" t="e">
        <f t="shared" si="3"/>
        <v>#VALUE!</v>
      </c>
      <c r="V36">
        <f t="shared" si="4"/>
        <v>0</v>
      </c>
      <c r="W36" s="7">
        <f t="shared" si="5"/>
        <v>0</v>
      </c>
      <c r="X36">
        <f t="shared" si="6"/>
        <v>0</v>
      </c>
      <c r="Y36" s="2" t="str">
        <f t="shared" si="7"/>
        <v/>
      </c>
      <c r="Z36" s="2" t="str">
        <f t="shared" si="8"/>
        <v/>
      </c>
      <c r="AA36" t="str">
        <f t="shared" si="10"/>
        <v/>
      </c>
    </row>
    <row r="37" spans="1:27" x14ac:dyDescent="0.3">
      <c r="A37" s="4"/>
      <c r="B37" s="4"/>
      <c r="C37" s="4"/>
      <c r="K37" s="5"/>
      <c r="M37" s="5"/>
      <c r="N37" s="5"/>
      <c r="O37" s="5"/>
      <c r="P37" s="5"/>
      <c r="Q37" t="str">
        <f t="shared" si="0"/>
        <v>// ::</v>
      </c>
      <c r="R37" t="str">
        <f t="shared" si="1"/>
        <v>// ::</v>
      </c>
      <c r="T37" s="2" t="e">
        <f t="shared" si="2"/>
        <v>#VALUE!</v>
      </c>
      <c r="U37" s="2" t="e">
        <f t="shared" si="3"/>
        <v>#VALUE!</v>
      </c>
      <c r="V37">
        <f t="shared" si="4"/>
        <v>0</v>
      </c>
      <c r="W37" s="7">
        <f t="shared" si="5"/>
        <v>0</v>
      </c>
      <c r="X37">
        <f t="shared" si="6"/>
        <v>0</v>
      </c>
      <c r="Y37" s="2" t="str">
        <f t="shared" si="7"/>
        <v/>
      </c>
      <c r="Z37" s="2" t="str">
        <f t="shared" si="8"/>
        <v/>
      </c>
      <c r="AA37" t="str">
        <f t="shared" si="10"/>
        <v/>
      </c>
    </row>
    <row r="38" spans="1:27" x14ac:dyDescent="0.3">
      <c r="A38" s="4"/>
      <c r="B38" s="4"/>
      <c r="C38" s="4"/>
      <c r="K38" s="5"/>
      <c r="M38" s="5"/>
      <c r="N38" s="5"/>
      <c r="O38" s="5"/>
      <c r="P38" s="5"/>
      <c r="Q38" t="str">
        <f t="shared" si="0"/>
        <v>// ::</v>
      </c>
      <c r="R38" t="str">
        <f t="shared" si="1"/>
        <v>// ::</v>
      </c>
      <c r="T38" s="2" t="e">
        <f t="shared" si="2"/>
        <v>#VALUE!</v>
      </c>
      <c r="U38" s="2" t="e">
        <f t="shared" si="3"/>
        <v>#VALUE!</v>
      </c>
      <c r="V38">
        <f t="shared" si="4"/>
        <v>0</v>
      </c>
      <c r="W38" s="7">
        <f t="shared" si="5"/>
        <v>0</v>
      </c>
      <c r="X38">
        <f t="shared" si="6"/>
        <v>0</v>
      </c>
      <c r="Y38" s="2" t="str">
        <f t="shared" si="7"/>
        <v/>
      </c>
      <c r="Z38" s="2" t="str">
        <f t="shared" si="8"/>
        <v/>
      </c>
      <c r="AA38" t="str">
        <f t="shared" si="10"/>
        <v/>
      </c>
    </row>
    <row r="39" spans="1:27" x14ac:dyDescent="0.3">
      <c r="A39" s="4"/>
      <c r="B39" s="4"/>
      <c r="C39" s="4"/>
      <c r="K39" s="5"/>
      <c r="M39" s="5"/>
      <c r="N39" s="5"/>
      <c r="O39" s="5"/>
      <c r="P39" s="5"/>
      <c r="Q39" t="str">
        <f t="shared" si="0"/>
        <v>// ::</v>
      </c>
      <c r="R39" t="str">
        <f t="shared" si="1"/>
        <v>// ::</v>
      </c>
      <c r="T39" s="2" t="e">
        <f t="shared" si="2"/>
        <v>#VALUE!</v>
      </c>
      <c r="U39" s="2" t="e">
        <f t="shared" si="3"/>
        <v>#VALUE!</v>
      </c>
      <c r="V39">
        <f t="shared" si="4"/>
        <v>0</v>
      </c>
      <c r="W39" s="7">
        <f t="shared" si="5"/>
        <v>0</v>
      </c>
      <c r="X39">
        <f t="shared" si="6"/>
        <v>0</v>
      </c>
      <c r="Y39" s="2" t="str">
        <f t="shared" si="7"/>
        <v/>
      </c>
      <c r="Z39" s="2" t="str">
        <f t="shared" si="8"/>
        <v/>
      </c>
      <c r="AA39" t="str">
        <f t="shared" si="10"/>
        <v/>
      </c>
    </row>
    <row r="40" spans="1:27" x14ac:dyDescent="0.3">
      <c r="A40" s="4"/>
      <c r="B40" s="4"/>
      <c r="C40" s="4"/>
      <c r="K40" s="5"/>
      <c r="M40" s="5"/>
      <c r="N40" s="5"/>
      <c r="O40" s="5"/>
      <c r="P40" s="5"/>
      <c r="Q40" t="str">
        <f t="shared" si="0"/>
        <v>// ::</v>
      </c>
      <c r="R40" t="str">
        <f t="shared" si="1"/>
        <v>// ::</v>
      </c>
      <c r="T40" s="2" t="e">
        <f t="shared" si="2"/>
        <v>#VALUE!</v>
      </c>
      <c r="U40" s="2" t="e">
        <f t="shared" si="3"/>
        <v>#VALUE!</v>
      </c>
      <c r="V40">
        <f t="shared" si="4"/>
        <v>0</v>
      </c>
      <c r="W40" s="7">
        <f t="shared" si="5"/>
        <v>0</v>
      </c>
      <c r="X40">
        <f t="shared" si="6"/>
        <v>0</v>
      </c>
      <c r="Y40" s="2" t="str">
        <f t="shared" si="7"/>
        <v/>
      </c>
      <c r="Z40" s="2" t="str">
        <f t="shared" si="8"/>
        <v/>
      </c>
      <c r="AA40" t="str">
        <f t="shared" si="10"/>
        <v/>
      </c>
    </row>
    <row r="41" spans="1:27" x14ac:dyDescent="0.3">
      <c r="A41" s="4"/>
      <c r="B41" s="4"/>
      <c r="C41" s="4"/>
      <c r="K41" s="5"/>
      <c r="M41" s="5"/>
      <c r="N41" s="5"/>
      <c r="O41" s="5"/>
      <c r="P41" s="5"/>
      <c r="Q41" t="str">
        <f t="shared" si="0"/>
        <v>// ::</v>
      </c>
      <c r="R41" t="str">
        <f t="shared" si="1"/>
        <v>// ::</v>
      </c>
      <c r="T41" s="2" t="e">
        <f t="shared" si="2"/>
        <v>#VALUE!</v>
      </c>
      <c r="U41" s="2" t="e">
        <f t="shared" si="3"/>
        <v>#VALUE!</v>
      </c>
      <c r="V41">
        <f t="shared" si="4"/>
        <v>0</v>
      </c>
      <c r="W41" s="7">
        <f t="shared" si="5"/>
        <v>0</v>
      </c>
      <c r="X41">
        <f t="shared" si="6"/>
        <v>0</v>
      </c>
      <c r="Y41" s="2" t="str">
        <f t="shared" si="7"/>
        <v/>
      </c>
      <c r="Z41" s="2" t="str">
        <f t="shared" si="8"/>
        <v/>
      </c>
      <c r="AA41" t="str">
        <f t="shared" si="10"/>
        <v/>
      </c>
    </row>
    <row r="42" spans="1:27" x14ac:dyDescent="0.3">
      <c r="A42" s="4"/>
      <c r="B42" s="4"/>
      <c r="C42" s="4"/>
      <c r="K42" s="5"/>
      <c r="M42" s="5"/>
      <c r="N42" s="5"/>
      <c r="O42" s="5"/>
      <c r="P42" s="5"/>
      <c r="Q42" t="str">
        <f t="shared" si="0"/>
        <v>// ::</v>
      </c>
      <c r="R42" t="str">
        <f t="shared" si="1"/>
        <v>// ::</v>
      </c>
      <c r="T42" s="2" t="e">
        <f t="shared" si="2"/>
        <v>#VALUE!</v>
      </c>
      <c r="U42" s="2" t="e">
        <f t="shared" si="3"/>
        <v>#VALUE!</v>
      </c>
      <c r="V42">
        <f t="shared" si="4"/>
        <v>0</v>
      </c>
      <c r="W42" s="7">
        <f t="shared" si="5"/>
        <v>0</v>
      </c>
      <c r="X42">
        <f t="shared" si="6"/>
        <v>0</v>
      </c>
      <c r="Y42" s="2" t="str">
        <f t="shared" si="7"/>
        <v/>
      </c>
      <c r="Z42" s="2" t="str">
        <f t="shared" si="8"/>
        <v/>
      </c>
      <c r="AA42" t="str">
        <f t="shared" si="10"/>
        <v/>
      </c>
    </row>
    <row r="43" spans="1:27" x14ac:dyDescent="0.3">
      <c r="A43" s="4"/>
      <c r="B43" s="4"/>
      <c r="C43" s="4"/>
      <c r="K43" s="5"/>
      <c r="M43" s="5"/>
      <c r="N43" s="5"/>
      <c r="O43" s="5"/>
      <c r="P43" s="5"/>
      <c r="Q43" t="str">
        <f t="shared" si="0"/>
        <v>// ::</v>
      </c>
      <c r="R43" t="str">
        <f t="shared" si="1"/>
        <v>// ::</v>
      </c>
      <c r="T43" s="2" t="e">
        <f t="shared" si="2"/>
        <v>#VALUE!</v>
      </c>
      <c r="U43" s="2" t="e">
        <f t="shared" si="3"/>
        <v>#VALUE!</v>
      </c>
      <c r="V43">
        <f t="shared" si="4"/>
        <v>0</v>
      </c>
      <c r="W43" s="7">
        <f t="shared" si="5"/>
        <v>0</v>
      </c>
      <c r="X43">
        <f t="shared" si="6"/>
        <v>0</v>
      </c>
      <c r="Y43" s="2" t="str">
        <f t="shared" si="7"/>
        <v/>
      </c>
      <c r="Z43" s="2" t="str">
        <f t="shared" si="8"/>
        <v/>
      </c>
      <c r="AA43" t="str">
        <f t="shared" si="10"/>
        <v/>
      </c>
    </row>
    <row r="44" spans="1:27" x14ac:dyDescent="0.3">
      <c r="A44" s="4"/>
      <c r="B44" s="4"/>
      <c r="C44" s="4"/>
      <c r="K44" s="5"/>
      <c r="M44" s="5"/>
      <c r="N44" s="5"/>
      <c r="O44" s="5"/>
      <c r="P44" s="5"/>
      <c r="Q44" t="str">
        <f t="shared" si="0"/>
        <v>// ::</v>
      </c>
      <c r="R44" t="str">
        <f t="shared" si="1"/>
        <v>// ::</v>
      </c>
      <c r="T44" s="2" t="e">
        <f t="shared" si="2"/>
        <v>#VALUE!</v>
      </c>
      <c r="U44" s="2" t="e">
        <f t="shared" si="3"/>
        <v>#VALUE!</v>
      </c>
      <c r="V44">
        <f t="shared" si="4"/>
        <v>0</v>
      </c>
      <c r="W44" s="7">
        <f t="shared" si="5"/>
        <v>0</v>
      </c>
      <c r="X44">
        <f t="shared" si="6"/>
        <v>0</v>
      </c>
      <c r="Y44" s="2" t="str">
        <f t="shared" si="7"/>
        <v/>
      </c>
      <c r="Z44" s="2" t="str">
        <f t="shared" si="8"/>
        <v/>
      </c>
      <c r="AA44" t="str">
        <f t="shared" si="10"/>
        <v/>
      </c>
    </row>
    <row r="45" spans="1:27" x14ac:dyDescent="0.3">
      <c r="A45" s="4"/>
      <c r="B45" s="4"/>
      <c r="C45" s="4"/>
      <c r="K45" s="5"/>
      <c r="M45" s="5"/>
      <c r="N45" s="5"/>
      <c r="O45" s="5"/>
      <c r="P45" s="5"/>
      <c r="Q45" t="str">
        <f t="shared" si="0"/>
        <v>// ::</v>
      </c>
      <c r="R45" t="str">
        <f t="shared" si="1"/>
        <v>// ::</v>
      </c>
      <c r="T45" s="2" t="e">
        <f t="shared" si="2"/>
        <v>#VALUE!</v>
      </c>
      <c r="U45" s="2" t="e">
        <f t="shared" si="3"/>
        <v>#VALUE!</v>
      </c>
      <c r="V45">
        <f t="shared" si="4"/>
        <v>0</v>
      </c>
      <c r="W45" s="7">
        <f t="shared" si="5"/>
        <v>0</v>
      </c>
      <c r="X45">
        <f t="shared" si="6"/>
        <v>0</v>
      </c>
      <c r="Y45" s="2" t="str">
        <f t="shared" si="7"/>
        <v/>
      </c>
      <c r="Z45" s="2" t="str">
        <f t="shared" si="8"/>
        <v/>
      </c>
      <c r="AA45" t="str">
        <f t="shared" si="10"/>
        <v/>
      </c>
    </row>
    <row r="46" spans="1:27" x14ac:dyDescent="0.3">
      <c r="A46" s="4"/>
      <c r="B46" s="4"/>
      <c r="C46" s="4"/>
      <c r="K46" s="5"/>
      <c r="M46" s="5"/>
      <c r="N46" s="5"/>
      <c r="O46" s="5"/>
      <c r="P46" s="5"/>
      <c r="Q46" t="str">
        <f t="shared" si="0"/>
        <v>// ::</v>
      </c>
      <c r="R46" t="str">
        <f t="shared" si="1"/>
        <v>// ::</v>
      </c>
      <c r="T46" s="2" t="e">
        <f t="shared" si="2"/>
        <v>#VALUE!</v>
      </c>
      <c r="U46" s="2" t="e">
        <f t="shared" si="3"/>
        <v>#VALUE!</v>
      </c>
      <c r="V46">
        <f t="shared" si="4"/>
        <v>0</v>
      </c>
      <c r="W46" s="7">
        <f t="shared" si="5"/>
        <v>0</v>
      </c>
      <c r="X46">
        <f t="shared" si="6"/>
        <v>0</v>
      </c>
      <c r="Y46" s="2" t="str">
        <f t="shared" si="7"/>
        <v/>
      </c>
      <c r="Z46" s="2" t="str">
        <f t="shared" si="8"/>
        <v/>
      </c>
      <c r="AA46" t="str">
        <f t="shared" si="10"/>
        <v/>
      </c>
    </row>
    <row r="47" spans="1:27" x14ac:dyDescent="0.3">
      <c r="A47" s="4"/>
      <c r="B47" s="4"/>
      <c r="C47" s="4"/>
      <c r="K47" s="5"/>
      <c r="M47" s="5"/>
      <c r="N47" s="5"/>
      <c r="O47" s="5"/>
      <c r="P47" s="5"/>
      <c r="Q47" t="str">
        <f t="shared" si="0"/>
        <v>// ::</v>
      </c>
      <c r="R47" t="str">
        <f t="shared" si="1"/>
        <v>// ::</v>
      </c>
      <c r="T47" s="2" t="e">
        <f t="shared" si="2"/>
        <v>#VALUE!</v>
      </c>
      <c r="U47" s="2" t="e">
        <f t="shared" si="3"/>
        <v>#VALUE!</v>
      </c>
      <c r="V47">
        <f t="shared" si="4"/>
        <v>0</v>
      </c>
      <c r="W47" s="7">
        <f t="shared" si="5"/>
        <v>0</v>
      </c>
      <c r="X47">
        <f t="shared" si="6"/>
        <v>0</v>
      </c>
      <c r="Y47" s="2" t="str">
        <f t="shared" si="7"/>
        <v/>
      </c>
      <c r="Z47" s="2" t="str">
        <f t="shared" si="8"/>
        <v/>
      </c>
      <c r="AA47" t="str">
        <f t="shared" si="10"/>
        <v/>
      </c>
    </row>
    <row r="48" spans="1:27" x14ac:dyDescent="0.3">
      <c r="A48" s="4"/>
      <c r="B48" s="4"/>
      <c r="C48" s="4"/>
      <c r="K48" s="5"/>
      <c r="M48" s="5"/>
      <c r="N48" s="5"/>
      <c r="O48" s="5"/>
      <c r="P48" s="5"/>
      <c r="Q48" t="str">
        <f t="shared" si="0"/>
        <v>// ::</v>
      </c>
      <c r="R48" t="str">
        <f t="shared" si="1"/>
        <v>// ::</v>
      </c>
      <c r="T48" s="2" t="e">
        <f t="shared" si="2"/>
        <v>#VALUE!</v>
      </c>
      <c r="U48" s="2" t="e">
        <f t="shared" si="3"/>
        <v>#VALUE!</v>
      </c>
      <c r="V48">
        <f t="shared" si="4"/>
        <v>0</v>
      </c>
      <c r="W48" s="7">
        <f t="shared" si="5"/>
        <v>0</v>
      </c>
      <c r="X48">
        <f t="shared" si="6"/>
        <v>0</v>
      </c>
      <c r="Y48" s="2" t="str">
        <f t="shared" si="7"/>
        <v/>
      </c>
      <c r="Z48" s="2" t="str">
        <f t="shared" si="8"/>
        <v/>
      </c>
      <c r="AA48" t="str">
        <f t="shared" si="10"/>
        <v/>
      </c>
    </row>
    <row r="49" spans="1:26" x14ac:dyDescent="0.3">
      <c r="A49" s="4"/>
      <c r="B49" s="4"/>
      <c r="C49" s="4"/>
      <c r="K49" s="5"/>
      <c r="M49" s="5"/>
      <c r="N49" s="5"/>
      <c r="O49" s="5"/>
      <c r="P49" s="5"/>
      <c r="T49" s="2"/>
      <c r="U49" s="2"/>
      <c r="W49" s="7"/>
      <c r="X49" s="7"/>
      <c r="Y49" s="2"/>
      <c r="Z49" s="2"/>
    </row>
    <row r="50" spans="1:26" x14ac:dyDescent="0.3">
      <c r="A50" s="4"/>
      <c r="B50" s="4"/>
      <c r="C50" s="4"/>
      <c r="K50" s="5"/>
      <c r="M50" s="5"/>
      <c r="N50" s="5"/>
      <c r="O50" s="5"/>
      <c r="P50" s="5"/>
      <c r="T50" s="2"/>
      <c r="U50" s="2"/>
      <c r="W50" s="7"/>
      <c r="X50" s="7"/>
      <c r="Y50" s="2"/>
      <c r="Z50" s="2"/>
    </row>
    <row r="51" spans="1:26" x14ac:dyDescent="0.3">
      <c r="A51" s="4"/>
      <c r="B51" s="4"/>
      <c r="C51" s="4"/>
      <c r="K51" s="5"/>
      <c r="M51" s="5"/>
      <c r="N51" s="5"/>
      <c r="O51" s="5"/>
      <c r="P51" s="5"/>
      <c r="T51" s="2"/>
      <c r="U51" s="2"/>
      <c r="W51" s="7"/>
      <c r="X51" s="7"/>
      <c r="Y51" s="2"/>
      <c r="Z51" s="2"/>
    </row>
    <row r="52" spans="1:26" x14ac:dyDescent="0.3">
      <c r="A52" s="4"/>
      <c r="B52" s="4"/>
      <c r="C52" s="4"/>
      <c r="K52" s="5"/>
      <c r="M52" s="5"/>
      <c r="N52" s="5"/>
      <c r="O52" s="5"/>
      <c r="P52" s="5"/>
      <c r="T52" s="2"/>
      <c r="U52" s="2"/>
      <c r="W52" s="7"/>
      <c r="X52" s="7"/>
      <c r="Y52" s="2"/>
      <c r="Z52" s="2"/>
    </row>
    <row r="53" spans="1:26" x14ac:dyDescent="0.3">
      <c r="A53" s="4"/>
      <c r="B53" s="4"/>
      <c r="C53" s="4"/>
      <c r="K53" s="5"/>
      <c r="M53" s="5"/>
      <c r="N53" s="5"/>
      <c r="O53" s="5"/>
      <c r="P53" s="5"/>
      <c r="T53" s="2"/>
      <c r="U53" s="2"/>
      <c r="W53" s="7"/>
      <c r="X53" s="7"/>
      <c r="Y53" s="2"/>
      <c r="Z53" s="2"/>
    </row>
    <row r="54" spans="1:26" x14ac:dyDescent="0.3">
      <c r="A54" s="4"/>
      <c r="B54" s="4"/>
      <c r="C54" s="4"/>
      <c r="K54" s="5"/>
      <c r="M54" s="5"/>
      <c r="N54" s="5"/>
      <c r="O54" s="5"/>
      <c r="P54" s="5"/>
      <c r="T54" s="2"/>
      <c r="U54" s="2"/>
      <c r="W54" s="7"/>
      <c r="X54" s="7"/>
      <c r="Y54" s="2"/>
      <c r="Z54" s="2"/>
    </row>
    <row r="55" spans="1:26" x14ac:dyDescent="0.3">
      <c r="A55" s="4"/>
      <c r="B55" s="4"/>
      <c r="C55" s="4"/>
      <c r="K55" s="5"/>
      <c r="M55" s="5"/>
      <c r="N55" s="5"/>
      <c r="O55" s="5"/>
      <c r="P55" s="5"/>
      <c r="T55" s="2"/>
      <c r="U55" s="2"/>
      <c r="W55" s="7"/>
      <c r="X55" s="7"/>
      <c r="Y55" s="7"/>
      <c r="Z55" s="7"/>
    </row>
    <row r="56" spans="1:26" x14ac:dyDescent="0.3">
      <c r="A56" s="4"/>
      <c r="B56" s="4"/>
      <c r="C56" s="4"/>
      <c r="K56" s="5"/>
      <c r="M56" s="5"/>
      <c r="N56" s="5"/>
      <c r="O56" s="5"/>
      <c r="P56" s="5"/>
      <c r="T56" s="2"/>
      <c r="U56" s="2"/>
      <c r="W56" s="7"/>
      <c r="X56" s="7"/>
      <c r="Y56" s="7"/>
      <c r="Z56" s="7"/>
    </row>
  </sheetData>
  <mergeCells count="5">
    <mergeCell ref="G2:I2"/>
    <mergeCell ref="D2:F2"/>
    <mergeCell ref="Q2:R2"/>
    <mergeCell ref="T2:U2"/>
    <mergeCell ref="T1:W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98acef-0090-4e28-8ddd-ab44f1c03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E5F8541B411047A8616DB9194DF9D8" ma:contentTypeVersion="11" ma:contentTypeDescription="Create a new document." ma:contentTypeScope="" ma:versionID="6c36d6d3d06f54611f23537e0865339d">
  <xsd:schema xmlns:xsd="http://www.w3.org/2001/XMLSchema" xmlns:xs="http://www.w3.org/2001/XMLSchema" xmlns:p="http://schemas.microsoft.com/office/2006/metadata/properties" xmlns:ns3="9d98acef-0090-4e28-8ddd-ab44f1c03c5e" targetNamespace="http://schemas.microsoft.com/office/2006/metadata/properties" ma:root="true" ma:fieldsID="a82f2c899e6a7f66dc3ede761270fe1d" ns3:_="">
    <xsd:import namespace="9d98acef-0090-4e28-8ddd-ab44f1c03c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acef-0090-4e28-8ddd-ab44f1c03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682B0-F66F-46F4-89F8-9EBDB4B7F695}">
  <ds:schemaRefs>
    <ds:schemaRef ds:uri="http://schemas.microsoft.com/office/2006/documentManagement/types"/>
    <ds:schemaRef ds:uri="9d98acef-0090-4e28-8ddd-ab44f1c03c5e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856FB0-FCFE-4AA9-98B8-55F0EB23F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8acef-0090-4e28-8ddd-ab44f1c03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826A0F-B605-42DB-AF71-BFB528B4E4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TestID</vt:lpstr>
      <vt:lpstr>Trial</vt:lpstr>
      <vt:lpstr>EasyTrialEntry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Bauerlien</dc:creator>
  <cp:lastModifiedBy>Cory Bauerlien</cp:lastModifiedBy>
  <dcterms:created xsi:type="dcterms:W3CDTF">2023-09-27T20:20:09Z</dcterms:created>
  <dcterms:modified xsi:type="dcterms:W3CDTF">2026-02-04T19:20:46Z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0x0101002FE5F8541B411047A8616DB9194DF9D8</vt:lpwstr>
  </property>
</Properties>
</file>